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updev\Desktop\"/>
    </mc:Choice>
  </mc:AlternateContent>
  <bookViews>
    <workbookView xWindow="1170" yWindow="420" windowWidth="19320" windowHeight="9570" tabRatio="81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178" r:id="rId5"/>
    <pivotCache cacheId="181" r:id="rId6"/>
    <pivotCache cacheId="184" r:id="rId7"/>
    <pivotCache cacheId="187" r:id="rId8"/>
    <pivotCache cacheId="190" r:id="rId9"/>
    <pivotCache cacheId="193" r:id="rId10"/>
    <pivotCache cacheId="197" r:id="rId11"/>
    <pivotCache cacheId="200" r:id="rId12"/>
    <pivotCache cacheId="203" r:id="rId13"/>
    <pivotCache cacheId="206" r:id="rId14"/>
    <pivotCache cacheId="209" r:id="rId15"/>
    <pivotCache cacheId="212" r:id="rId16"/>
    <pivotCache cacheId="215" r:id="rId17"/>
    <pivotCache cacheId="218" r:id="rId18"/>
  </pivotCaches>
  <extLst>
    <ext xmlns:x14="http://schemas.microsoft.com/office/spreadsheetml/2009/9/main" uri="{876F7934-8845-4945-9796-88D515C7AA90}">
      <x14:pivotCaches>
        <pivotCache cacheId="196" r:id="rId19"/>
      </x14:pivotCaches>
    </ex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2_20150903_237;Data Source=poolcutsp.dev.local:8199;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PoolCut Base Pool Connection String"/>
    <s v="{[View Dim EC Pass].[EC Pass No].&amp;[ECPass3]}"/>
    <s v="{[Pool].[Dim Pool ID].[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<sst xmlns="http://schemas.openxmlformats.org/spreadsheetml/2006/main" count="234" uniqueCount="113">
  <si>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</si>
  <si>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</si>
  <si>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</si>
  <si>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</si>
  <si>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</si>
  <si>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</si>
  <si>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</si>
  <si>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</si>
  <si>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</si>
  <si>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</si>
  <si>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</si>
  <si>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</si>
  <si>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</si>
  <si>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</si>
  <si>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</si>
  <si>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</si>
  <si>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</si>
  <si>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</si>
  <si>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</si>
  <si>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</si>
  <si>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</si>
  <si>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</si>
  <si>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</si>
  <si>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</si>
  <si>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</si>
  <si>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</si>
  <si>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</si>
  <si>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</si>
  <si>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</si>
  <si>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</si>
  <si>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</si>
  <si>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</si>
  <si>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Total</t>
  </si>
  <si>
    <t>资产池日报表</t>
  </si>
  <si>
    <t>Dim Pool ID</t>
  </si>
  <si>
    <t>EC Pass No</t>
  </si>
  <si>
    <t>筛选结果报表</t>
  </si>
  <si>
    <t>ptReportsALR</t>
  </si>
  <si>
    <t>资产池标识</t>
  </si>
  <si>
    <t>报表名称</t>
  </si>
  <si>
    <t>筛选条件报表</t>
  </si>
  <si>
    <t>筛选条件</t>
  </si>
  <si>
    <t>ECPass3</t>
  </si>
  <si>
    <t>商品品类分布</t>
  </si>
  <si>
    <t>ptDistProductType</t>
  </si>
  <si>
    <t>All</t>
  </si>
  <si>
    <t>资产池未偿本金余额总额</t>
  </si>
  <si>
    <t>合同总金额</t>
  </si>
  <si>
    <t>贷款笔数</t>
  </si>
  <si>
    <t>平均本金余额</t>
  </si>
  <si>
    <t>平均合同金额</t>
  </si>
  <si>
    <t>加权平均贷款月利率</t>
  </si>
  <si>
    <t>加权平均贷款年利率</t>
  </si>
  <si>
    <t>加权平均贷款合同期限</t>
  </si>
  <si>
    <t>加权平均贷款剩余期限</t>
  </si>
  <si>
    <t>加权平均贷款账龄</t>
  </si>
  <si>
    <t>本金余额</t>
  </si>
  <si>
    <t>本金余额占比</t>
  </si>
  <si>
    <t>贷款笔数占比</t>
  </si>
  <si>
    <t>0元 - 1000元</t>
  </si>
  <si>
    <t>1000元 - 2000元</t>
  </si>
  <si>
    <t>2000元 - 3000元</t>
  </si>
  <si>
    <t>3000元 - 4000元</t>
  </si>
  <si>
    <t>4000元 - 5000元</t>
  </si>
  <si>
    <t>5000元 - 6000元</t>
  </si>
  <si>
    <t>6000元 - 7000元</t>
  </si>
  <si>
    <t>7000元 - 8000元</t>
  </si>
  <si>
    <t>8000元 - 9000元</t>
  </si>
  <si>
    <t>9000元 - 10000元</t>
  </si>
  <si>
    <t>总数</t>
  </si>
  <si>
    <t>0-3 个月</t>
  </si>
  <si>
    <t>3-6 个月</t>
  </si>
  <si>
    <t>6-9 个月</t>
  </si>
  <si>
    <t>9-12 个月</t>
  </si>
  <si>
    <t>12-15 个月</t>
  </si>
  <si>
    <t>15-18 个月</t>
  </si>
  <si>
    <t>18-21 个月</t>
  </si>
  <si>
    <t>3 个月</t>
  </si>
  <si>
    <t>6 个月</t>
  </si>
  <si>
    <t>12 个月</t>
  </si>
  <si>
    <t>24 个月</t>
  </si>
  <si>
    <t>237</t>
  </si>
  <si>
    <t>现金流归集报表</t>
  </si>
  <si>
    <t>评级机构资产池详细报表</t>
  </si>
  <si>
    <t>238</t>
  </si>
  <si>
    <t>239</t>
  </si>
  <si>
    <t>Grand Total</t>
  </si>
  <si>
    <t>贷款相关</t>
  </si>
  <si>
    <t>客户相关</t>
  </si>
  <si>
    <t>JD_EC04_LoanEndDate</t>
  </si>
  <si>
    <t>JD_EC15_HistoricalDaysInArrears</t>
  </si>
  <si>
    <t>JD_EC19_TimesInArrears</t>
  </si>
  <si>
    <t>ECT1_Targeting_Parent</t>
  </si>
  <si>
    <t>ECT2_Targeting_Size</t>
  </si>
  <si>
    <t>0（含）% - 0.1（不含）%</t>
  </si>
  <si>
    <t>0.3（含）% - 0.4（不含）%</t>
  </si>
  <si>
    <t>0.5（含）% - 0.6（不含）%</t>
  </si>
  <si>
    <t>0.8（含）% - 0.9（不含）%</t>
  </si>
  <si>
    <t>3c数码</t>
  </si>
  <si>
    <t>家居</t>
  </si>
  <si>
    <t>服饰</t>
  </si>
  <si>
    <t>母婴</t>
  </si>
  <si>
    <t>美容</t>
  </si>
  <si>
    <t>Refeshed at : 01:54:25 下午</t>
  </si>
  <si>
    <t>最高合同金额</t>
  </si>
  <si>
    <t>最高剩余本金余额</t>
  </si>
  <si>
    <t>最高月利率</t>
  </si>
  <si>
    <t>最短剩余期限</t>
  </si>
  <si>
    <t>最长剩余期限</t>
  </si>
  <si>
    <t>无息合同金额占比</t>
  </si>
  <si>
    <t>客户地理区域分布数量</t>
  </si>
  <si>
    <t>合同金额最高的前10000名客户总金额占比</t>
  </si>
  <si>
    <t>Refeshed at : 01:59:07 下午</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</si>
</sst>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_-* #,##0.00_-;\-* #,##0.00_-;_-* &quot;-&quot;??_-;_-@_-"/>
    <numFmt numFmtId="177" formatCode="&quot;$&quot;#,##0.00"/>
    <numFmt numFmtId="178" formatCode="[$¥-804]#,##0.00"/>
    <numFmt numFmtId="179" formatCode="#,##0;\-#,##0"/>
    <numFmt numFmtId="180" formatCode="#,##0.00\ %;\-#,##0.00\ %"/>
    <numFmt numFmtId="181" formatCode="#,##0.00;\-#,##0.00"/>
  </numFmts>
  <fonts count="15" x14ac:knownFonts="1">
    <font>
      <sz val="11"/>
      <color theme="1"/>
      <name val="宋体"/>
      <family val="2"/>
      <scheme val="minor"/>
    </font>
    <font>
      <sz val="11"/>
      <color theme="1"/>
      <name val="宋体"/>
      <family val="2"/>
      <scheme val="minor"/>
    </font>
    <font>
      <b/>
      <sz val="10"/>
      <name val="Arial"/>
      <family val="2"/>
    </font>
    <font>
      <sz val="12"/>
      <color theme="1"/>
      <name val="Arial"/>
      <family val="2"/>
    </font>
    <font>
      <sz val="10"/>
      <color theme="1"/>
      <name val="宋体"/>
      <family val="2"/>
      <scheme val="minor"/>
    </font>
    <font>
      <sz val="10"/>
      <color theme="3" tint="-0.249977111117893"/>
      <name val="宋体"/>
      <family val="2"/>
      <scheme val="minor"/>
    </font>
    <font>
      <b/>
      <sz val="10"/>
      <color theme="1"/>
      <name val="宋体"/>
      <family val="2"/>
      <scheme val="minor"/>
    </font>
    <font>
      <b/>
      <sz val="10"/>
      <name val="宋体"/>
      <family val="2"/>
      <scheme val="minor"/>
    </font>
    <font>
      <sz val="10"/>
      <color theme="1"/>
      <name val="宋体"/>
      <family val="2"/>
      <scheme val="minor"/>
    </font>
    <font>
      <u/>
      <sz val="11"/>
      <color theme="10"/>
      <name val="宋体"/>
      <family val="2"/>
      <scheme val="minor"/>
    </font>
    <font>
      <sz val="10"/>
      <name val="宋体"/>
      <family val="2"/>
      <scheme val="minor"/>
    </font>
    <font>
      <b/>
      <sz val="10"/>
      <color theme="5"/>
      <name val="宋体"/>
      <family val="2"/>
      <scheme val="minor"/>
    </font>
    <font>
      <u/>
      <sz val="10"/>
      <color theme="10"/>
      <name val="宋体"/>
      <family val="2"/>
      <scheme val="minor"/>
    </font>
    <font>
      <b/>
      <sz val="10"/>
      <color theme="1" tint="0.34998626667073579"/>
      <name val="宋体"/>
      <family val="2"/>
      <scheme val="minor"/>
    </font>
    <font>
      <sz val="9"/>
      <name val="宋体"/>
      <family val="3"/>
      <charset val="134"/>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76" fontId="1" fillId="0" borderId="0" applyFont="0" applyFill="0" applyBorder="0" applyAlignment="0" applyProtection="0"/>
    <xf numFmtId="0" fontId="3" fillId="0" borderId="0"/>
    <xf numFmtId="176"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2">
    <xf numFmtId="0" fontId="0" fillId="0" borderId="0" xfId="0"/>
    <xf numFmtId="0" fontId="0" fillId="0" borderId="0" xfId="0" applyAlignment="1">
      <alignment horizontal="center"/>
    </xf>
    <xf numFmtId="0" fontId="0" fillId="0" borderId="0" xfId="0"/>
    <xf numFmtId="0" fontId="2" fillId="0" borderId="0" xfId="0" applyFont="1"/>
    <xf numFmtId="177"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77"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77" fontId="0" fillId="0" borderId="0" xfId="0" applyNumberFormat="1"/>
    <xf numFmtId="0" fontId="4" fillId="0" borderId="0" xfId="0" applyFont="1"/>
    <xf numFmtId="0" fontId="6" fillId="0" borderId="0" xfId="0" applyFont="1"/>
    <xf numFmtId="177" fontId="4" fillId="0" borderId="0" xfId="0" applyNumberFormat="1" applyFont="1"/>
    <xf numFmtId="3" fontId="4" fillId="0" borderId="0" xfId="0" applyNumberFormat="1" applyFont="1"/>
    <xf numFmtId="177"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77"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4" fillId="0" borderId="0" xfId="0" applyFont="1" applyAlignment="1">
      <alignment horizontal="center" wrapText="1"/>
    </xf>
    <xf numFmtId="0" fontId="0" fillId="0" borderId="0" xfId="0" applyAlignment="1">
      <alignment horizontal="left"/>
    </xf>
    <xf numFmtId="178" fontId="0" fillId="0" borderId="0" xfId="0" applyNumberFormat="1"/>
    <xf numFmtId="179" fontId="0" fillId="0" borderId="0" xfId="0" applyNumberFormat="1"/>
    <xf numFmtId="180" fontId="0" fillId="0" borderId="0" xfId="0" applyNumberFormat="1"/>
    <xf numFmtId="0" fontId="0" fillId="0" borderId="0" xfId="0" applyNumberFormat="1"/>
    <xf numFmtId="181" fontId="0" fillId="0" borderId="0" xfId="0" applyNumberFormat="1"/>
    <xf numFmtId="2" fontId="0" fillId="0" borderId="0" xfId="0" applyNumberFormat="1"/>
    <xf numFmtId="10" fontId="0" fillId="0" borderId="0" xfId="0" applyNumberFormat="1"/>
    <xf numFmtId="0" fontId="0" fillId="0" borderId="0" xfId="0" applyAlignment="1">
      <alignment horizontal="right"/>
    </xf>
    <xf numFmtId="179" fontId="0" fillId="0" borderId="0" xfId="0" applyNumberFormat="1" applyAlignment="1">
      <alignment horizontal="right"/>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178" formatCode="[$¥-804]#,##0.00"/>
    </dxf>
    <dxf>
      <numFmt numFmtId="178" formatCode="[$¥-804]#,##0.00"/>
    </dxf>
    <dxf>
      <numFmt numFmtId="178" formatCode="[$¥-804]#,##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Distributions!$A$21:$A$25</c:f>
              <c:strCache>
                <c:ptCount val="4"/>
                <c:pt idx="0">
                  <c:v>3 个月</c:v>
                </c:pt>
                <c:pt idx="1">
                  <c:v>6 个月</c:v>
                </c:pt>
                <c:pt idx="2">
                  <c:v>12 个月</c:v>
                </c:pt>
                <c:pt idx="3">
                  <c:v>24 个月</c:v>
                </c:pt>
              </c:strCache>
            </c:strRef>
          </c:cat>
          <c:val>
            <c:numRef>
              <c:f>Distributions!$B$21:$B$25</c:f>
              <c:numCache>
                <c:formatCode>[$¥-804]#,##0.00</c:formatCode>
                <c:ptCount val="4"/>
                <c:pt idx="0">
                  <c:v>19401828.439999972</c:v>
                </c:pt>
                <c:pt idx="1">
                  <c:v>46184688.379999876</c:v>
                </c:pt>
                <c:pt idx="2">
                  <c:v>42859151.120000191</c:v>
                </c:pt>
                <c:pt idx="3">
                  <c:v>57470045.160000339</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Distributions!$A$21:$A$25</c:f>
              <c:strCache>
                <c:ptCount val="4"/>
                <c:pt idx="0">
                  <c:v>3 个月</c:v>
                </c:pt>
                <c:pt idx="1">
                  <c:v>6 个月</c:v>
                </c:pt>
                <c:pt idx="2">
                  <c:v>12 个月</c:v>
                </c:pt>
                <c:pt idx="3">
                  <c:v>24 个月</c:v>
                </c:pt>
              </c:strCache>
            </c:strRef>
          </c:cat>
          <c:val>
            <c:numRef>
              <c:f>Distributions!$C$21:$C$25</c:f>
              <c:numCache>
                <c:formatCode>0.00%</c:formatCode>
                <c:ptCount val="4"/>
                <c:pt idx="0">
                  <c:v>0.11693786005853507</c:v>
                </c:pt>
                <c:pt idx="1">
                  <c:v>0.27836235349308575</c:v>
                </c:pt>
                <c:pt idx="2">
                  <c:v>0.25831881935237833</c:v>
                </c:pt>
                <c:pt idx="3">
                  <c:v>0.34638096709599708</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Distributions!$A$21:$A$25</c:f>
              <c:strCache>
                <c:ptCount val="4"/>
                <c:pt idx="0">
                  <c:v>3 个月</c:v>
                </c:pt>
                <c:pt idx="1">
                  <c:v>6 个月</c:v>
                </c:pt>
                <c:pt idx="2">
                  <c:v>12 个月</c:v>
                </c:pt>
                <c:pt idx="3">
                  <c:v>24 个月</c:v>
                </c:pt>
              </c:strCache>
            </c:strRef>
          </c:cat>
          <c:val>
            <c:numRef>
              <c:f>Distributions!$D$21:$D$25</c:f>
              <c:numCache>
                <c:formatCode>#,##0_);\(#,##0\)</c:formatCode>
                <c:ptCount val="4"/>
                <c:pt idx="0">
                  <c:v>34362</c:v>
                </c:pt>
                <c:pt idx="1">
                  <c:v>51384</c:v>
                </c:pt>
                <c:pt idx="2">
                  <c:v>42116</c:v>
                </c:pt>
                <c:pt idx="3">
                  <c:v>30271</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Distributions!$A$21:$A$25</c:f>
              <c:strCache>
                <c:ptCount val="4"/>
                <c:pt idx="0">
                  <c:v>3 个月</c:v>
                </c:pt>
                <c:pt idx="1">
                  <c:v>6 个月</c:v>
                </c:pt>
                <c:pt idx="2">
                  <c:v>12 个月</c:v>
                </c:pt>
                <c:pt idx="3">
                  <c:v>24 个月</c:v>
                </c:pt>
              </c:strCache>
            </c:strRef>
          </c:cat>
          <c:val>
            <c:numRef>
              <c:f>Distributions!$E$21:$E$25</c:f>
              <c:numCache>
                <c:formatCode>0.00%</c:formatCode>
                <c:ptCount val="4"/>
                <c:pt idx="0">
                  <c:v>0.21729809717136842</c:v>
                </c:pt>
                <c:pt idx="1">
                  <c:v>0.32494166303048699</c:v>
                </c:pt>
                <c:pt idx="2">
                  <c:v>0.26633277051595811</c:v>
                </c:pt>
                <c:pt idx="3">
                  <c:v>0.19142746928218651</c:v>
                </c:pt>
              </c:numCache>
            </c:numRef>
          </c:val>
        </c:ser>
        <c:dLbls>
          <c:showLegendKey val="0"/>
          <c:showVal val="0"/>
          <c:showCatName val="0"/>
          <c:showSerName val="0"/>
          <c:showPercent val="0"/>
          <c:showBubbleSize val="0"/>
        </c:dLbls>
        <c:gapWidth val="150"/>
        <c:axId val="230968616"/>
        <c:axId val="379089808"/>
      </c:barChart>
      <c:catAx>
        <c:axId val="230968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089808"/>
        <c:crosses val="autoZero"/>
        <c:auto val="1"/>
        <c:lblAlgn val="ctr"/>
        <c:lblOffset val="100"/>
        <c:noMultiLvlLbl val="0"/>
      </c:catAx>
      <c:valAx>
        <c:axId val="37908980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0968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Distributions!$G$21:$G$24</c:f>
              <c:strCache>
                <c:ptCount val="3"/>
                <c:pt idx="0">
                  <c:v>0-3 个月</c:v>
                </c:pt>
                <c:pt idx="1">
                  <c:v>6-9 个月</c:v>
                </c:pt>
                <c:pt idx="2">
                  <c:v>12-15 个月</c:v>
                </c:pt>
              </c:strCache>
            </c:strRef>
          </c:cat>
          <c:val>
            <c:numRef>
              <c:f>Distributions!$H$21:$H$24</c:f>
              <c:numCache>
                <c:formatCode>[$¥-804]#,##0.00</c:formatCode>
                <c:ptCount val="3"/>
                <c:pt idx="0">
                  <c:v>77886913.739999995</c:v>
                </c:pt>
                <c:pt idx="1">
                  <c:v>86569524.330000371</c:v>
                </c:pt>
                <c:pt idx="2">
                  <c:v>1459275.0299999989</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Distributions!$G$21:$G$24</c:f>
              <c:strCache>
                <c:ptCount val="3"/>
                <c:pt idx="0">
                  <c:v>0-3 个月</c:v>
                </c:pt>
                <c:pt idx="1">
                  <c:v>6-9 个月</c:v>
                </c:pt>
                <c:pt idx="2">
                  <c:v>12-15 个月</c:v>
                </c:pt>
              </c:strCache>
            </c:strRef>
          </c:cat>
          <c:val>
            <c:numRef>
              <c:f>Distributions!$I$21:$I$24</c:f>
              <c:numCache>
                <c:formatCode>0.00%</c:formatCode>
                <c:ptCount val="3"/>
                <c:pt idx="0">
                  <c:v>0.46943663312380701</c:v>
                </c:pt>
                <c:pt idx="1">
                  <c:v>0.52176808761821758</c:v>
                </c:pt>
                <c:pt idx="2">
                  <c:v>8.7952792579715586E-3</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Distributions!$G$21:$G$24</c:f>
              <c:strCache>
                <c:ptCount val="3"/>
                <c:pt idx="0">
                  <c:v>0-3 个月</c:v>
                </c:pt>
                <c:pt idx="1">
                  <c:v>6-9 个月</c:v>
                </c:pt>
                <c:pt idx="2">
                  <c:v>12-15 个月</c:v>
                </c:pt>
              </c:strCache>
            </c:strRef>
          </c:cat>
          <c:val>
            <c:numRef>
              <c:f>Distributions!$J$21:$J$24</c:f>
              <c:numCache>
                <c:formatCode>#,##0_);\(#,##0\)</c:formatCode>
                <c:ptCount val="3"/>
                <c:pt idx="0">
                  <c:v>94735</c:v>
                </c:pt>
                <c:pt idx="1">
                  <c:v>61756</c:v>
                </c:pt>
                <c:pt idx="2">
                  <c:v>1642</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Distributions!$G$21:$G$24</c:f>
              <c:strCache>
                <c:ptCount val="3"/>
                <c:pt idx="0">
                  <c:v>0-3 个月</c:v>
                </c:pt>
                <c:pt idx="1">
                  <c:v>6-9 个月</c:v>
                </c:pt>
                <c:pt idx="2">
                  <c:v>12-15 个月</c:v>
                </c:pt>
              </c:strCache>
            </c:strRef>
          </c:cat>
          <c:val>
            <c:numRef>
              <c:f>Distributions!$K$21:$K$24</c:f>
              <c:numCache>
                <c:formatCode>0.00%</c:formatCode>
                <c:ptCount val="3"/>
                <c:pt idx="0">
                  <c:v>0.59908431510184468</c:v>
                </c:pt>
                <c:pt idx="1">
                  <c:v>0.39053202051437713</c:v>
                </c:pt>
                <c:pt idx="2">
                  <c:v>1.0383664383778211E-2</c:v>
                </c:pt>
              </c:numCache>
            </c:numRef>
          </c:val>
        </c:ser>
        <c:dLbls>
          <c:showLegendKey val="0"/>
          <c:showVal val="0"/>
          <c:showCatName val="0"/>
          <c:showSerName val="0"/>
          <c:showPercent val="0"/>
          <c:showBubbleSize val="0"/>
        </c:dLbls>
        <c:gapWidth val="150"/>
        <c:axId val="380421736"/>
        <c:axId val="380422120"/>
      </c:barChart>
      <c:catAx>
        <c:axId val="380421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422120"/>
        <c:crosses val="autoZero"/>
        <c:auto val="1"/>
        <c:lblAlgn val="ctr"/>
        <c:lblOffset val="100"/>
        <c:noMultiLvlLbl val="0"/>
      </c:catAx>
      <c:valAx>
        <c:axId val="3804221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421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Distributions!$M$21:$M$28</c:f>
              <c:strCache>
                <c:ptCount val="7"/>
                <c:pt idx="0">
                  <c:v>0-3 个月</c:v>
                </c:pt>
                <c:pt idx="1">
                  <c:v>3-6 个月</c:v>
                </c:pt>
                <c:pt idx="2">
                  <c:v>6-9 个月</c:v>
                </c:pt>
                <c:pt idx="3">
                  <c:v>9-12 个月</c:v>
                </c:pt>
                <c:pt idx="4">
                  <c:v>12-15 个月</c:v>
                </c:pt>
                <c:pt idx="5">
                  <c:v>15-18 个月</c:v>
                </c:pt>
                <c:pt idx="6">
                  <c:v>18-21 个月</c:v>
                </c:pt>
              </c:strCache>
            </c:strRef>
          </c:cat>
          <c:val>
            <c:numRef>
              <c:f>Distributions!$N$21:$N$28</c:f>
              <c:numCache>
                <c:formatCode>[$¥-804]#,##0.00</c:formatCode>
                <c:ptCount val="7"/>
                <c:pt idx="0">
                  <c:v>20158856.039999954</c:v>
                </c:pt>
                <c:pt idx="1">
                  <c:v>80243213.649999991</c:v>
                </c:pt>
                <c:pt idx="2">
                  <c:v>8278519.1599999908</c:v>
                </c:pt>
                <c:pt idx="3">
                  <c:v>1224354.1200000001</c:v>
                </c:pt>
                <c:pt idx="4">
                  <c:v>3128959.920000006</c:v>
                </c:pt>
                <c:pt idx="5">
                  <c:v>46101574.920000382</c:v>
                </c:pt>
                <c:pt idx="6">
                  <c:v>6780235.2899999879</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Distributions!$M$21:$M$28</c:f>
              <c:strCache>
                <c:ptCount val="7"/>
                <c:pt idx="0">
                  <c:v>0-3 个月</c:v>
                </c:pt>
                <c:pt idx="1">
                  <c:v>3-6 个月</c:v>
                </c:pt>
                <c:pt idx="2">
                  <c:v>6-9 个月</c:v>
                </c:pt>
                <c:pt idx="3">
                  <c:v>9-12 个月</c:v>
                </c:pt>
                <c:pt idx="4">
                  <c:v>12-15 个月</c:v>
                </c:pt>
                <c:pt idx="5">
                  <c:v>15-18 个月</c:v>
                </c:pt>
                <c:pt idx="6">
                  <c:v>18-21 个月</c:v>
                </c:pt>
              </c:strCache>
            </c:strRef>
          </c:cat>
          <c:val>
            <c:numRef>
              <c:f>Distributions!$O$21:$O$28</c:f>
              <c:numCache>
                <c:formatCode>0.00%</c:formatCode>
                <c:ptCount val="7"/>
                <c:pt idx="0">
                  <c:v>0.12150058402153734</c:v>
                </c:pt>
                <c:pt idx="1">
                  <c:v>0.48363842188735712</c:v>
                </c:pt>
                <c:pt idx="2">
                  <c:v>4.989593212916698E-2</c:v>
                </c:pt>
                <c:pt idx="3">
                  <c:v>7.3793741239086578E-3</c:v>
                </c:pt>
                <c:pt idx="4">
                  <c:v>1.8858731711047245E-2</c:v>
                </c:pt>
                <c:pt idx="5">
                  <c:v>0.27786141564671429</c:v>
                </c:pt>
                <c:pt idx="6">
                  <c:v>4.0865540480264174E-2</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Distributions!$M$21:$M$28</c:f>
              <c:strCache>
                <c:ptCount val="7"/>
                <c:pt idx="0">
                  <c:v>0-3 个月</c:v>
                </c:pt>
                <c:pt idx="1">
                  <c:v>3-6 个月</c:v>
                </c:pt>
                <c:pt idx="2">
                  <c:v>6-9 个月</c:v>
                </c:pt>
                <c:pt idx="3">
                  <c:v>9-12 个月</c:v>
                </c:pt>
                <c:pt idx="4">
                  <c:v>12-15 个月</c:v>
                </c:pt>
                <c:pt idx="5">
                  <c:v>15-18 个月</c:v>
                </c:pt>
                <c:pt idx="6">
                  <c:v>18-21 个月</c:v>
                </c:pt>
              </c:strCache>
            </c:strRef>
          </c:cat>
          <c:val>
            <c:numRef>
              <c:f>Distributions!$P$21:$P$28</c:f>
              <c:numCache>
                <c:formatCode>#,##0_);\(#,##0\)</c:formatCode>
                <c:ptCount val="7"/>
                <c:pt idx="0">
                  <c:v>35990</c:v>
                </c:pt>
                <c:pt idx="1">
                  <c:v>84631</c:v>
                </c:pt>
                <c:pt idx="2">
                  <c:v>7510</c:v>
                </c:pt>
                <c:pt idx="3">
                  <c:v>1373</c:v>
                </c:pt>
                <c:pt idx="4">
                  <c:v>2317</c:v>
                </c:pt>
                <c:pt idx="5">
                  <c:v>22678</c:v>
                </c:pt>
                <c:pt idx="6">
                  <c:v>3634</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Distributions!$M$21:$M$28</c:f>
              <c:strCache>
                <c:ptCount val="7"/>
                <c:pt idx="0">
                  <c:v>0-3 个月</c:v>
                </c:pt>
                <c:pt idx="1">
                  <c:v>3-6 个月</c:v>
                </c:pt>
                <c:pt idx="2">
                  <c:v>6-9 个月</c:v>
                </c:pt>
                <c:pt idx="3">
                  <c:v>9-12 个月</c:v>
                </c:pt>
                <c:pt idx="4">
                  <c:v>12-15 个月</c:v>
                </c:pt>
                <c:pt idx="5">
                  <c:v>15-18 个月</c:v>
                </c:pt>
                <c:pt idx="6">
                  <c:v>18-21 个月</c:v>
                </c:pt>
              </c:strCache>
            </c:strRef>
          </c:cat>
          <c:val>
            <c:numRef>
              <c:f>Distributions!$Q$21:$Q$28</c:f>
              <c:numCache>
                <c:formatCode>0.00%</c:formatCode>
                <c:ptCount val="7"/>
                <c:pt idx="0">
                  <c:v>0.22759322848488298</c:v>
                </c:pt>
                <c:pt idx="1">
                  <c:v>0.53518873353442986</c:v>
                </c:pt>
                <c:pt idx="2">
                  <c:v>4.749166840570912E-2</c:v>
                </c:pt>
                <c:pt idx="3">
                  <c:v>8.6825646765697224E-3</c:v>
                </c:pt>
                <c:pt idx="4">
                  <c:v>1.4652223128632227E-2</c:v>
                </c:pt>
                <c:pt idx="5">
                  <c:v>0.14341092624562868</c:v>
                </c:pt>
                <c:pt idx="6">
                  <c:v>2.2980655524147395E-2</c:v>
                </c:pt>
              </c:numCache>
            </c:numRef>
          </c:val>
        </c:ser>
        <c:dLbls>
          <c:showLegendKey val="0"/>
          <c:showVal val="0"/>
          <c:showCatName val="0"/>
          <c:showSerName val="0"/>
          <c:showPercent val="0"/>
          <c:showBubbleSize val="0"/>
        </c:dLbls>
        <c:gapWidth val="219"/>
        <c:overlap val="-27"/>
        <c:axId val="380489888"/>
        <c:axId val="380439600"/>
      </c:barChart>
      <c:catAx>
        <c:axId val="380489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439600"/>
        <c:crosses val="autoZero"/>
        <c:auto val="1"/>
        <c:lblAlgn val="ctr"/>
        <c:lblOffset val="100"/>
        <c:noMultiLvlLbl val="0"/>
      </c:catAx>
      <c:valAx>
        <c:axId val="3804396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48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Distributions!$S$21:$S$25</c:f>
              <c:strCache>
                <c:ptCount val="4"/>
                <c:pt idx="0">
                  <c:v>0（含）% - 0.1（不含）%</c:v>
                </c:pt>
                <c:pt idx="1">
                  <c:v>0.3（含）% - 0.4（不含）%</c:v>
                </c:pt>
                <c:pt idx="2">
                  <c:v>0.5（含）% - 0.6（不含）%</c:v>
                </c:pt>
                <c:pt idx="3">
                  <c:v>0.8（含）% - 0.9（不含）%</c:v>
                </c:pt>
              </c:strCache>
            </c:strRef>
          </c:cat>
          <c:val>
            <c:numRef>
              <c:f>Distributions!$T$21:$T$25</c:f>
              <c:numCache>
                <c:formatCode>[$¥-804]#,##0.00</c:formatCode>
                <c:ptCount val="4"/>
                <c:pt idx="0">
                  <c:v>44618716.459999934</c:v>
                </c:pt>
                <c:pt idx="1">
                  <c:v>9072451.7899999842</c:v>
                </c:pt>
                <c:pt idx="2">
                  <c:v>95345589.170000225</c:v>
                </c:pt>
                <c:pt idx="3">
                  <c:v>16878955.679999977</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Distributions!$S$21:$S$25</c:f>
              <c:strCache>
                <c:ptCount val="4"/>
                <c:pt idx="0">
                  <c:v>0（含）% - 0.1（不含）%</c:v>
                </c:pt>
                <c:pt idx="1">
                  <c:v>0.3（含）% - 0.4（不含）%</c:v>
                </c:pt>
                <c:pt idx="2">
                  <c:v>0.5（含）% - 0.6（不含）%</c:v>
                </c:pt>
                <c:pt idx="3">
                  <c:v>0.8（含）% - 0.9（不含）%</c:v>
                </c:pt>
              </c:strCache>
            </c:strRef>
          </c:cat>
          <c:val>
            <c:numRef>
              <c:f>Distributions!$U$21:$U$25</c:f>
              <c:numCache>
                <c:formatCode>0.00%</c:formatCode>
                <c:ptCount val="4"/>
                <c:pt idx="0">
                  <c:v>0.26892399536086897</c:v>
                </c:pt>
                <c:pt idx="1">
                  <c:v>5.4681088490586907E-2</c:v>
                </c:pt>
                <c:pt idx="2">
                  <c:v>0.5746628055206161</c:v>
                </c:pt>
                <c:pt idx="3">
                  <c:v>0.10173211062792265</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Distributions!$S$21:$S$25</c:f>
              <c:strCache>
                <c:ptCount val="4"/>
                <c:pt idx="0">
                  <c:v>0（含）% - 0.1（不含）%</c:v>
                </c:pt>
                <c:pt idx="1">
                  <c:v>0.3（含）% - 0.4（不含）%</c:v>
                </c:pt>
                <c:pt idx="2">
                  <c:v>0.5（含）% - 0.6（不含）%</c:v>
                </c:pt>
                <c:pt idx="3">
                  <c:v>0.8（含）% - 0.9（不含）%</c:v>
                </c:pt>
              </c:strCache>
            </c:strRef>
          </c:cat>
          <c:val>
            <c:numRef>
              <c:f>Distributions!$V$21:$V$25</c:f>
              <c:numCache>
                <c:formatCode>#,##0_);\(#,##0\)</c:formatCode>
                <c:ptCount val="4"/>
                <c:pt idx="0">
                  <c:v>41689</c:v>
                </c:pt>
                <c:pt idx="1">
                  <c:v>9527</c:v>
                </c:pt>
                <c:pt idx="2">
                  <c:v>94937</c:v>
                </c:pt>
                <c:pt idx="3">
                  <c:v>11980</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Distributions!$S$21:$S$25</c:f>
              <c:strCache>
                <c:ptCount val="4"/>
                <c:pt idx="0">
                  <c:v>0（含）% - 0.1（不含）%</c:v>
                </c:pt>
                <c:pt idx="1">
                  <c:v>0.3（含）% - 0.4（不含）%</c:v>
                </c:pt>
                <c:pt idx="2">
                  <c:v>0.5（含）% - 0.6（不含）%</c:v>
                </c:pt>
                <c:pt idx="3">
                  <c:v>0.8（含）% - 0.9（不含）%</c:v>
                </c:pt>
              </c:strCache>
            </c:strRef>
          </c:cat>
          <c:val>
            <c:numRef>
              <c:f>Distributions!$W$21:$W$25</c:f>
              <c:numCache>
                <c:formatCode>0.00%</c:formatCode>
                <c:ptCount val="4"/>
                <c:pt idx="0">
                  <c:v>0.26363251187291709</c:v>
                </c:pt>
                <c:pt idx="1">
                  <c:v>6.024675431440623E-2</c:v>
                </c:pt>
                <c:pt idx="2">
                  <c:v>0.60036172082993433</c:v>
                </c:pt>
                <c:pt idx="3">
                  <c:v>7.5759012982742374E-2</c:v>
                </c:pt>
              </c:numCache>
            </c:numRef>
          </c:val>
        </c:ser>
        <c:dLbls>
          <c:showLegendKey val="0"/>
          <c:showVal val="0"/>
          <c:showCatName val="0"/>
          <c:showSerName val="0"/>
          <c:showPercent val="0"/>
          <c:showBubbleSize val="0"/>
        </c:dLbls>
        <c:gapWidth val="219"/>
        <c:overlap val="-27"/>
        <c:axId val="380526192"/>
        <c:axId val="381102792"/>
      </c:barChart>
      <c:catAx>
        <c:axId val="38052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1102792"/>
        <c:crosses val="autoZero"/>
        <c:auto val="1"/>
        <c:lblAlgn val="ctr"/>
        <c:lblOffset val="100"/>
        <c:noMultiLvlLbl val="0"/>
      </c:catAx>
      <c:valAx>
        <c:axId val="3811027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52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Distributions!$Y$21:$Y$31</c:f>
              <c:strCache>
                <c:ptCount val="10"/>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strCache>
            </c:strRef>
          </c:cat>
          <c:val>
            <c:numRef>
              <c:f>Distributions!$Z$21:$Z$31</c:f>
              <c:numCache>
                <c:formatCode>[$¥-804]#,##0.00</c:formatCode>
                <c:ptCount val="10"/>
                <c:pt idx="0">
                  <c:v>38780224.139999889</c:v>
                </c:pt>
                <c:pt idx="1">
                  <c:v>47092263.930000052</c:v>
                </c:pt>
                <c:pt idx="2">
                  <c:v>36423603.820000142</c:v>
                </c:pt>
                <c:pt idx="3">
                  <c:v>24539369.369999919</c:v>
                </c:pt>
                <c:pt idx="4">
                  <c:v>15361670.789999999</c:v>
                </c:pt>
                <c:pt idx="5">
                  <c:v>2794660.8799999994</c:v>
                </c:pt>
                <c:pt idx="6">
                  <c:v>542675.1399999999</c:v>
                </c:pt>
                <c:pt idx="7">
                  <c:v>273068.79000000004</c:v>
                </c:pt>
                <c:pt idx="8">
                  <c:v>98712.09</c:v>
                </c:pt>
                <c:pt idx="9">
                  <c:v>9464.15</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Distributions!$Y$21:$Y$31</c:f>
              <c:strCache>
                <c:ptCount val="10"/>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strCache>
            </c:strRef>
          </c:cat>
          <c:val>
            <c:numRef>
              <c:f>Distributions!$AA$21:$AA$31</c:f>
              <c:numCache>
                <c:formatCode>0.00%</c:formatCode>
                <c:ptCount val="10"/>
                <c:pt idx="0">
                  <c:v>0.23373448732144017</c:v>
                </c:pt>
                <c:pt idx="1">
                  <c:v>0.28383245353992798</c:v>
                </c:pt>
                <c:pt idx="2">
                  <c:v>0.21953076739661689</c:v>
                </c:pt>
                <c:pt idx="3">
                  <c:v>0.1479026242391491</c:v>
                </c:pt>
                <c:pt idx="4">
                  <c:v>9.2587196854231557E-2</c:v>
                </c:pt>
                <c:pt idx="5">
                  <c:v>1.6843859016026991E-2</c:v>
                </c:pt>
                <c:pt idx="6">
                  <c:v>3.2707880999367301E-3</c:v>
                </c:pt>
                <c:pt idx="7">
                  <c:v>1.6458283841712781E-3</c:v>
                </c:pt>
                <c:pt idx="8">
                  <c:v>5.9495323351624969E-4</c:v>
                </c:pt>
                <c:pt idx="9">
                  <c:v>5.7041914977008539E-5</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Distributions!$Y$21:$Y$31</c:f>
              <c:strCache>
                <c:ptCount val="10"/>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strCache>
            </c:strRef>
          </c:cat>
          <c:val>
            <c:numRef>
              <c:f>Distributions!$AB$21:$AB$31</c:f>
              <c:numCache>
                <c:formatCode>#,##0_);\(#,##0\)</c:formatCode>
                <c:ptCount val="10"/>
                <c:pt idx="0">
                  <c:v>99066</c:v>
                </c:pt>
                <c:pt idx="1">
                  <c:v>32643</c:v>
                </c:pt>
                <c:pt idx="2">
                  <c:v>15283</c:v>
                </c:pt>
                <c:pt idx="3">
                  <c:v>6958</c:v>
                </c:pt>
                <c:pt idx="4">
                  <c:v>3528</c:v>
                </c:pt>
                <c:pt idx="5">
                  <c:v>521</c:v>
                </c:pt>
                <c:pt idx="6">
                  <c:v>84</c:v>
                </c:pt>
                <c:pt idx="7">
                  <c:v>37</c:v>
                </c:pt>
                <c:pt idx="8">
                  <c:v>12</c:v>
                </c:pt>
                <c:pt idx="9">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Distributions!$Y$21:$Y$31</c:f>
              <c:strCache>
                <c:ptCount val="10"/>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strCache>
            </c:strRef>
          </c:cat>
          <c:val>
            <c:numRef>
              <c:f>Distributions!$AC$21:$AC$31</c:f>
              <c:numCache>
                <c:formatCode>0.00%</c:formatCode>
                <c:ptCount val="10"/>
                <c:pt idx="0">
                  <c:v>0.62647265276697461</c:v>
                </c:pt>
                <c:pt idx="1">
                  <c:v>0.20642750090114018</c:v>
                </c:pt>
                <c:pt idx="2">
                  <c:v>9.6646493774228029E-2</c:v>
                </c:pt>
                <c:pt idx="3">
                  <c:v>4.4000935921028501E-2</c:v>
                </c:pt>
                <c:pt idx="4">
                  <c:v>2.2310333706436987E-2</c:v>
                </c:pt>
                <c:pt idx="5">
                  <c:v>3.2946949719539881E-3</c:v>
                </c:pt>
                <c:pt idx="6">
                  <c:v>5.3119842158183301E-4</c:v>
                </c:pt>
                <c:pt idx="7">
                  <c:v>2.3398025712533121E-4</c:v>
                </c:pt>
                <c:pt idx="8">
                  <c:v>7.5885488797404715E-5</c:v>
                </c:pt>
                <c:pt idx="9">
                  <c:v>6.3237907331170596E-6</c:v>
                </c:pt>
              </c:numCache>
            </c:numRef>
          </c:val>
        </c:ser>
        <c:dLbls>
          <c:showLegendKey val="0"/>
          <c:showVal val="0"/>
          <c:showCatName val="0"/>
          <c:showSerName val="0"/>
          <c:showPercent val="0"/>
          <c:showBubbleSize val="0"/>
        </c:dLbls>
        <c:gapWidth val="219"/>
        <c:overlap val="-27"/>
        <c:axId val="380584080"/>
        <c:axId val="380584464"/>
      </c:barChart>
      <c:catAx>
        <c:axId val="38058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584464"/>
        <c:crosses val="autoZero"/>
        <c:auto val="1"/>
        <c:lblAlgn val="ctr"/>
        <c:lblOffset val="100"/>
        <c:noMultiLvlLbl val="0"/>
      </c:catAx>
      <c:valAx>
        <c:axId val="38058446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584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Distributions!$AE$20</c:f>
              <c:strCache>
                <c:ptCount val="1"/>
                <c:pt idx="0">
                  <c:v>本金余额</c:v>
                </c:pt>
              </c:strCache>
            </c:strRef>
          </c:tx>
          <c:spPr>
            <a:solidFill>
              <a:schemeClr val="accent1"/>
            </a:solidFill>
            <a:ln>
              <a:noFill/>
            </a:ln>
            <a:effectLst/>
          </c:spPr>
          <c:invertIfNegative val="0"/>
          <c:cat>
            <c:strRef>
              <c:f>Distributions!$AE$21</c:f>
              <c:strCache>
                <c:ptCount val="1"/>
                <c:pt idx="0">
                  <c:v>Total</c:v>
                </c:pt>
              </c:strCache>
            </c:strRef>
          </c:cat>
          <c:val>
            <c:numRef>
              <c:f>Distributions!$AE$21</c:f>
              <c:numCache>
                <c:formatCode>[$¥-804]#,##0.00</c:formatCode>
                <c:ptCount val="1"/>
                <c:pt idx="0">
                  <c:v>165915713.10000101</c:v>
                </c:pt>
              </c:numCache>
            </c:numRef>
          </c:val>
        </c:ser>
        <c:ser>
          <c:idx val="1"/>
          <c:order val="1"/>
          <c:tx>
            <c:strRef>
              <c:f>Distributions!$AF$20</c:f>
              <c:strCache>
                <c:ptCount val="1"/>
                <c:pt idx="0">
                  <c:v>本金余额占比</c:v>
                </c:pt>
              </c:strCache>
            </c:strRef>
          </c:tx>
          <c:spPr>
            <a:solidFill>
              <a:schemeClr val="accent2"/>
            </a:solidFill>
            <a:ln>
              <a:noFill/>
            </a:ln>
            <a:effectLst/>
          </c:spPr>
          <c:invertIfNegative val="0"/>
          <c:cat>
            <c:strRef>
              <c:f>Distributions!$AE$21</c:f>
              <c:strCache>
                <c:ptCount val="1"/>
                <c:pt idx="0">
                  <c:v>Total</c:v>
                </c:pt>
              </c:strCache>
            </c:strRef>
          </c:cat>
          <c:val>
            <c:numRef>
              <c:f>Distributions!$AF$21</c:f>
              <c:numCache>
                <c:formatCode>0.00%</c:formatCode>
                <c:ptCount val="1"/>
                <c:pt idx="0">
                  <c:v>1</c:v>
                </c:pt>
              </c:numCache>
            </c:numRef>
          </c:val>
        </c:ser>
        <c:ser>
          <c:idx val="2"/>
          <c:order val="2"/>
          <c:tx>
            <c:strRef>
              <c:f>Distributions!$AG$20</c:f>
              <c:strCache>
                <c:ptCount val="1"/>
                <c:pt idx="0">
                  <c:v>贷款笔数占比</c:v>
                </c:pt>
              </c:strCache>
            </c:strRef>
          </c:tx>
          <c:spPr>
            <a:solidFill>
              <a:schemeClr val="accent3"/>
            </a:solidFill>
            <a:ln>
              <a:noFill/>
            </a:ln>
            <a:effectLst/>
          </c:spPr>
          <c:invertIfNegative val="0"/>
          <c:cat>
            <c:strRef>
              <c:f>Distributions!$AE$21</c:f>
              <c:strCache>
                <c:ptCount val="1"/>
                <c:pt idx="0">
                  <c:v>Total</c:v>
                </c:pt>
              </c:strCache>
            </c:strRef>
          </c:cat>
          <c:val>
            <c:numRef>
              <c:f>Distributions!$AG$21</c:f>
              <c:numCache>
                <c:formatCode>#,##0_);\(#,##0\)</c:formatCode>
                <c:ptCount val="1"/>
                <c:pt idx="0">
                  <c:v>158133</c:v>
                </c:pt>
              </c:numCache>
            </c:numRef>
          </c:val>
        </c:ser>
        <c:ser>
          <c:idx val="3"/>
          <c:order val="3"/>
          <c:tx>
            <c:strRef>
              <c:f>Distributions!$AH$20</c:f>
              <c:strCache>
                <c:ptCount val="1"/>
                <c:pt idx="0">
                  <c:v>贷款笔数占比</c:v>
                </c:pt>
              </c:strCache>
            </c:strRef>
          </c:tx>
          <c:spPr>
            <a:solidFill>
              <a:schemeClr val="accent4"/>
            </a:solidFill>
            <a:ln>
              <a:noFill/>
            </a:ln>
            <a:effectLst/>
          </c:spPr>
          <c:invertIfNegative val="0"/>
          <c:cat>
            <c:strRef>
              <c:f>Distributions!$AE$21</c:f>
              <c:strCache>
                <c:ptCount val="1"/>
                <c:pt idx="0">
                  <c:v>Total</c:v>
                </c:pt>
              </c:strCache>
            </c:strRef>
          </c:cat>
          <c:val>
            <c:numRef>
              <c:f>Distributions!$AH$21</c:f>
              <c:numCache>
                <c:formatCode>0.00%</c:formatCode>
                <c:ptCount val="1"/>
                <c:pt idx="0">
                  <c:v>1</c:v>
                </c:pt>
              </c:numCache>
            </c:numRef>
          </c:val>
        </c:ser>
        <c:dLbls>
          <c:showLegendKey val="0"/>
          <c:showVal val="0"/>
          <c:showCatName val="0"/>
          <c:showSerName val="0"/>
          <c:showPercent val="0"/>
          <c:showBubbleSize val="0"/>
        </c:dLbls>
        <c:gapWidth val="219"/>
        <c:overlap val="-27"/>
        <c:axId val="377528416"/>
        <c:axId val="377528808"/>
      </c:barChart>
      <c:catAx>
        <c:axId val="37752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7528808"/>
        <c:crosses val="autoZero"/>
        <c:auto val="1"/>
        <c:lblAlgn val="ctr"/>
        <c:lblOffset val="100"/>
        <c:noMultiLvlLbl val="0"/>
      </c:catAx>
      <c:valAx>
        <c:axId val="37752880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752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Distributions!$AK$20</c:f>
              <c:strCache>
                <c:ptCount val="1"/>
                <c:pt idx="0">
                  <c:v>本金余额</c:v>
                </c:pt>
              </c:strCache>
            </c:strRef>
          </c:tx>
          <c:spPr>
            <a:solidFill>
              <a:schemeClr val="accent1"/>
            </a:solidFill>
            <a:ln>
              <a:noFill/>
            </a:ln>
            <a:effectLst/>
          </c:spPr>
          <c:invertIfNegative val="0"/>
          <c:cat>
            <c:strRef>
              <c:f>Distributions!$AK$21</c:f>
              <c:strCache>
                <c:ptCount val="1"/>
                <c:pt idx="0">
                  <c:v>Total</c:v>
                </c:pt>
              </c:strCache>
            </c:strRef>
          </c:cat>
          <c:val>
            <c:numRef>
              <c:f>Distributions!$AK$21</c:f>
              <c:numCache>
                <c:formatCode>[$¥-804]#,##0.00</c:formatCode>
                <c:ptCount val="1"/>
                <c:pt idx="0">
                  <c:v>165915713.10000101</c:v>
                </c:pt>
              </c:numCache>
            </c:numRef>
          </c:val>
        </c:ser>
        <c:ser>
          <c:idx val="1"/>
          <c:order val="1"/>
          <c:tx>
            <c:strRef>
              <c:f>Distributions!$AL$20</c:f>
              <c:strCache>
                <c:ptCount val="1"/>
                <c:pt idx="0">
                  <c:v>本金余额占比</c:v>
                </c:pt>
              </c:strCache>
            </c:strRef>
          </c:tx>
          <c:spPr>
            <a:solidFill>
              <a:schemeClr val="accent2"/>
            </a:solidFill>
            <a:ln>
              <a:noFill/>
            </a:ln>
            <a:effectLst/>
          </c:spPr>
          <c:invertIfNegative val="0"/>
          <c:cat>
            <c:strRef>
              <c:f>Distributions!$AK$21</c:f>
              <c:strCache>
                <c:ptCount val="1"/>
                <c:pt idx="0">
                  <c:v>Total</c:v>
                </c:pt>
              </c:strCache>
            </c:strRef>
          </c:cat>
          <c:val>
            <c:numRef>
              <c:f>Distributions!$AL$21</c:f>
              <c:numCache>
                <c:formatCode>0.00%</c:formatCode>
                <c:ptCount val="1"/>
                <c:pt idx="0">
                  <c:v>1</c:v>
                </c:pt>
              </c:numCache>
            </c:numRef>
          </c:val>
        </c:ser>
        <c:ser>
          <c:idx val="2"/>
          <c:order val="2"/>
          <c:tx>
            <c:strRef>
              <c:f>Distributions!$AM$20</c:f>
              <c:strCache>
                <c:ptCount val="1"/>
                <c:pt idx="0">
                  <c:v>贷款笔数占比</c:v>
                </c:pt>
              </c:strCache>
            </c:strRef>
          </c:tx>
          <c:spPr>
            <a:solidFill>
              <a:schemeClr val="accent3"/>
            </a:solidFill>
            <a:ln>
              <a:noFill/>
            </a:ln>
            <a:effectLst/>
          </c:spPr>
          <c:invertIfNegative val="0"/>
          <c:cat>
            <c:strRef>
              <c:f>Distributions!$AK$21</c:f>
              <c:strCache>
                <c:ptCount val="1"/>
                <c:pt idx="0">
                  <c:v>Total</c:v>
                </c:pt>
              </c:strCache>
            </c:strRef>
          </c:cat>
          <c:val>
            <c:numRef>
              <c:f>Distributions!$AM$21</c:f>
              <c:numCache>
                <c:formatCode>#,##0_);\(#,##0\)</c:formatCode>
                <c:ptCount val="1"/>
                <c:pt idx="0">
                  <c:v>158133</c:v>
                </c:pt>
              </c:numCache>
            </c:numRef>
          </c:val>
        </c:ser>
        <c:ser>
          <c:idx val="3"/>
          <c:order val="3"/>
          <c:tx>
            <c:strRef>
              <c:f>Distributions!$AN$20</c:f>
              <c:strCache>
                <c:ptCount val="1"/>
                <c:pt idx="0">
                  <c:v>贷款笔数占比</c:v>
                </c:pt>
              </c:strCache>
            </c:strRef>
          </c:tx>
          <c:spPr>
            <a:solidFill>
              <a:schemeClr val="accent4"/>
            </a:solidFill>
            <a:ln>
              <a:noFill/>
            </a:ln>
            <a:effectLst/>
          </c:spPr>
          <c:invertIfNegative val="0"/>
          <c:cat>
            <c:strRef>
              <c:f>Distributions!$AK$21</c:f>
              <c:strCache>
                <c:ptCount val="1"/>
                <c:pt idx="0">
                  <c:v>Total</c:v>
                </c:pt>
              </c:strCache>
            </c:strRef>
          </c:cat>
          <c:val>
            <c:numRef>
              <c:f>Distributions!$AN$21</c:f>
              <c:numCache>
                <c:formatCode>0.00%</c:formatCode>
                <c:ptCount val="1"/>
                <c:pt idx="0">
                  <c:v>1</c:v>
                </c:pt>
              </c:numCache>
            </c:numRef>
          </c:val>
        </c:ser>
        <c:dLbls>
          <c:showLegendKey val="0"/>
          <c:showVal val="0"/>
          <c:showCatName val="0"/>
          <c:showSerName val="0"/>
          <c:showPercent val="0"/>
          <c:showBubbleSize val="0"/>
        </c:dLbls>
        <c:gapWidth val="219"/>
        <c:overlap val="-27"/>
        <c:axId val="377529592"/>
        <c:axId val="377529984"/>
      </c:barChart>
      <c:catAx>
        <c:axId val="377529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7529984"/>
        <c:crosses val="autoZero"/>
        <c:auto val="1"/>
        <c:lblAlgn val="ctr"/>
        <c:lblOffset val="100"/>
        <c:noMultiLvlLbl val="0"/>
      </c:catAx>
      <c:valAx>
        <c:axId val="3775299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752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Distributions!$AQ$21:$AQ$22</c:f>
              <c:strCache>
                <c:ptCount val="1"/>
              </c:strCache>
            </c:strRef>
          </c:cat>
          <c:val>
            <c:numRef>
              <c:f>Distributions!$AR$21:$AR$22</c:f>
              <c:numCache>
                <c:formatCode>[$¥-804]#,##0.00</c:formatCode>
                <c:ptCount val="1"/>
                <c:pt idx="0">
                  <c:v>165915713.10000336</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Distributions!$AQ$21:$AQ$22</c:f>
              <c:strCache>
                <c:ptCount val="1"/>
              </c:strCache>
            </c:strRef>
          </c:cat>
          <c:val>
            <c:numRef>
              <c:f>Distributions!$AS$21:$AS$22</c:f>
              <c:numCache>
                <c:formatCode>0.00%</c:formatCode>
                <c:ptCount val="1"/>
                <c:pt idx="0">
                  <c:v>1.0000000000000142</c:v>
                </c:pt>
              </c:numCache>
            </c:numRef>
          </c:val>
        </c:ser>
        <c:ser>
          <c:idx val="2"/>
          <c:order val="2"/>
          <c:tx>
            <c:strRef>
              <c:f>Distributions!$AT$20</c:f>
              <c:strCache>
                <c:ptCount val="1"/>
                <c:pt idx="0">
                  <c:v>贷款笔数占比</c:v>
                </c:pt>
              </c:strCache>
            </c:strRef>
          </c:tx>
          <c:spPr>
            <a:solidFill>
              <a:schemeClr val="accent3"/>
            </a:solidFill>
            <a:ln>
              <a:noFill/>
            </a:ln>
            <a:effectLst/>
          </c:spPr>
          <c:invertIfNegative val="0"/>
          <c:cat>
            <c:strRef>
              <c:f>Distributions!$AQ$21:$AQ$22</c:f>
              <c:strCache>
                <c:ptCount val="1"/>
              </c:strCache>
            </c:strRef>
          </c:cat>
          <c:val>
            <c:numRef>
              <c:f>Distributions!$AT$21:$AT$22</c:f>
              <c:numCache>
                <c:formatCode>#,##0_);\(#,##0\)</c:formatCode>
                <c:ptCount val="1"/>
                <c:pt idx="0">
                  <c:v>158133</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Distributions!$AQ$21:$AQ$22</c:f>
              <c:strCache>
                <c:ptCount val="1"/>
              </c:strCache>
            </c:strRef>
          </c:cat>
          <c:val>
            <c:numRef>
              <c:f>Distributions!$AU$21:$AU$22</c:f>
              <c:numCache>
                <c:formatCode>0.00%</c:formatCode>
                <c:ptCount val="1"/>
                <c:pt idx="0">
                  <c:v>1</c:v>
                </c:pt>
              </c:numCache>
            </c:numRef>
          </c:val>
        </c:ser>
        <c:dLbls>
          <c:showLegendKey val="0"/>
          <c:showVal val="0"/>
          <c:showCatName val="0"/>
          <c:showSerName val="0"/>
          <c:showPercent val="0"/>
          <c:showBubbleSize val="0"/>
        </c:dLbls>
        <c:gapWidth val="219"/>
        <c:overlap val="-27"/>
        <c:axId val="380931088"/>
        <c:axId val="380931480"/>
      </c:barChart>
      <c:catAx>
        <c:axId val="38093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1480"/>
        <c:crosses val="autoZero"/>
        <c:auto val="1"/>
        <c:lblAlgn val="ctr"/>
        <c:lblOffset val="100"/>
        <c:noMultiLvlLbl val="0"/>
      </c:catAx>
      <c:valAx>
        <c:axId val="3809314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Distributions!$AW$20</c:f>
              <c:strCache>
                <c:ptCount val="1"/>
                <c:pt idx="0">
                  <c:v>本金余额</c:v>
                </c:pt>
              </c:strCache>
            </c:strRef>
          </c:tx>
          <c:spPr>
            <a:solidFill>
              <a:schemeClr val="accent1"/>
            </a:solidFill>
            <a:ln>
              <a:noFill/>
            </a:ln>
            <a:effectLst/>
          </c:spPr>
          <c:invertIfNegative val="0"/>
          <c:cat>
            <c:strRef>
              <c:f>Distributions!$AW$21</c:f>
              <c:strCache>
                <c:ptCount val="1"/>
                <c:pt idx="0">
                  <c:v>Total</c:v>
                </c:pt>
              </c:strCache>
            </c:strRef>
          </c:cat>
          <c:val>
            <c:numRef>
              <c:f>Distributions!$AW$21</c:f>
              <c:numCache>
                <c:formatCode>[$¥-804]#,##0.00</c:formatCode>
                <c:ptCount val="1"/>
                <c:pt idx="0">
                  <c:v>165915713.10000101</c:v>
                </c:pt>
              </c:numCache>
            </c:numRef>
          </c:val>
        </c:ser>
        <c:ser>
          <c:idx val="1"/>
          <c:order val="1"/>
          <c:tx>
            <c:strRef>
              <c:f>Distributions!$AX$20</c:f>
              <c:strCache>
                <c:ptCount val="1"/>
                <c:pt idx="0">
                  <c:v>本金余额占比</c:v>
                </c:pt>
              </c:strCache>
            </c:strRef>
          </c:tx>
          <c:spPr>
            <a:solidFill>
              <a:schemeClr val="accent2"/>
            </a:solidFill>
            <a:ln>
              <a:noFill/>
            </a:ln>
            <a:effectLst/>
          </c:spPr>
          <c:invertIfNegative val="0"/>
          <c:cat>
            <c:strRef>
              <c:f>Distributions!$AW$21</c:f>
              <c:strCache>
                <c:ptCount val="1"/>
                <c:pt idx="0">
                  <c:v>Total</c:v>
                </c:pt>
              </c:strCache>
            </c:strRef>
          </c:cat>
          <c:val>
            <c:numRef>
              <c:f>Distributions!$AX$21</c:f>
              <c:numCache>
                <c:formatCode>0.00%</c:formatCode>
                <c:ptCount val="1"/>
                <c:pt idx="0">
                  <c:v>1</c:v>
                </c:pt>
              </c:numCache>
            </c:numRef>
          </c:val>
        </c:ser>
        <c:ser>
          <c:idx val="2"/>
          <c:order val="2"/>
          <c:tx>
            <c:strRef>
              <c:f>Distributions!$AY$20</c:f>
              <c:strCache>
                <c:ptCount val="1"/>
                <c:pt idx="0">
                  <c:v>贷款笔数占比</c:v>
                </c:pt>
              </c:strCache>
            </c:strRef>
          </c:tx>
          <c:spPr>
            <a:solidFill>
              <a:schemeClr val="accent3"/>
            </a:solidFill>
            <a:ln>
              <a:noFill/>
            </a:ln>
            <a:effectLst/>
          </c:spPr>
          <c:invertIfNegative val="0"/>
          <c:cat>
            <c:strRef>
              <c:f>Distributions!$AW$21</c:f>
              <c:strCache>
                <c:ptCount val="1"/>
                <c:pt idx="0">
                  <c:v>Total</c:v>
                </c:pt>
              </c:strCache>
            </c:strRef>
          </c:cat>
          <c:val>
            <c:numRef>
              <c:f>Distributions!$AY$21</c:f>
              <c:numCache>
                <c:formatCode>#,##0_);\(#,##0\)</c:formatCode>
                <c:ptCount val="1"/>
                <c:pt idx="0">
                  <c:v>158133</c:v>
                </c:pt>
              </c:numCache>
            </c:numRef>
          </c:val>
        </c:ser>
        <c:ser>
          <c:idx val="3"/>
          <c:order val="3"/>
          <c:tx>
            <c:strRef>
              <c:f>Distributions!$AZ$20</c:f>
              <c:strCache>
                <c:ptCount val="1"/>
                <c:pt idx="0">
                  <c:v>贷款笔数占比</c:v>
                </c:pt>
              </c:strCache>
            </c:strRef>
          </c:tx>
          <c:spPr>
            <a:solidFill>
              <a:schemeClr val="accent4"/>
            </a:solidFill>
            <a:ln>
              <a:noFill/>
            </a:ln>
            <a:effectLst/>
          </c:spPr>
          <c:invertIfNegative val="0"/>
          <c:cat>
            <c:strRef>
              <c:f>Distributions!$AW$21</c:f>
              <c:strCache>
                <c:ptCount val="1"/>
                <c:pt idx="0">
                  <c:v>Total</c:v>
                </c:pt>
              </c:strCache>
            </c:strRef>
          </c:cat>
          <c:val>
            <c:numRef>
              <c:f>Distributions!$AZ$21</c:f>
              <c:numCache>
                <c:formatCode>0.00%</c:formatCode>
                <c:ptCount val="1"/>
                <c:pt idx="0">
                  <c:v>1</c:v>
                </c:pt>
              </c:numCache>
            </c:numRef>
          </c:val>
        </c:ser>
        <c:dLbls>
          <c:showLegendKey val="0"/>
          <c:showVal val="0"/>
          <c:showCatName val="0"/>
          <c:showSerName val="0"/>
          <c:showPercent val="0"/>
          <c:showBubbleSize val="0"/>
        </c:dLbls>
        <c:gapWidth val="219"/>
        <c:overlap val="-27"/>
        <c:axId val="380932264"/>
        <c:axId val="380932656"/>
      </c:barChart>
      <c:catAx>
        <c:axId val="380932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2656"/>
        <c:crosses val="autoZero"/>
        <c:auto val="1"/>
        <c:lblAlgn val="ctr"/>
        <c:lblOffset val="100"/>
        <c:noMultiLvlLbl val="0"/>
      </c:catAx>
      <c:valAx>
        <c:axId val="38093265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2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[PoolTargetChild_2_20150903_239.xlsm]Distributions!ptDistProductType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Distributions!$BD$20</c:f>
              <c:strCache>
                <c:ptCount val="1"/>
                <c:pt idx="0">
                  <c:v>本金余额</c:v>
                </c:pt>
              </c:strCache>
            </c:strRef>
          </c:tx>
          <c:spPr>
            <a:solidFill>
              <a:schemeClr val="accent1"/>
            </a:solidFill>
            <a:ln>
              <a:noFill/>
            </a:ln>
            <a:effectLst/>
          </c:spPr>
          <c:invertIfNegative val="0"/>
          <c:cat>
            <c:strRef>
              <c:f>Distributions!$BC$21:$BC$26</c:f>
              <c:strCache>
                <c:ptCount val="5"/>
                <c:pt idx="0">
                  <c:v>3c数码</c:v>
                </c:pt>
                <c:pt idx="1">
                  <c:v>家居</c:v>
                </c:pt>
                <c:pt idx="2">
                  <c:v>服饰</c:v>
                </c:pt>
                <c:pt idx="3">
                  <c:v>母婴</c:v>
                </c:pt>
                <c:pt idx="4">
                  <c:v>美容</c:v>
                </c:pt>
              </c:strCache>
            </c:strRef>
          </c:cat>
          <c:val>
            <c:numRef>
              <c:f>Distributions!$BD$21:$BD$26</c:f>
              <c:numCache>
                <c:formatCode>#,##0_);\(#,##0\)</c:formatCode>
                <c:ptCount val="5"/>
                <c:pt idx="0">
                  <c:v>57419840.529999986</c:v>
                </c:pt>
                <c:pt idx="1">
                  <c:v>32544825.729999907</c:v>
                </c:pt>
                <c:pt idx="2">
                  <c:v>27332953.70000004</c:v>
                </c:pt>
                <c:pt idx="3">
                  <c:v>28573594.260000013</c:v>
                </c:pt>
                <c:pt idx="4">
                  <c:v>20044498.879999992</c:v>
                </c:pt>
              </c:numCache>
            </c:numRef>
          </c:val>
        </c:ser>
        <c:ser>
          <c:idx val="1"/>
          <c:order val="1"/>
          <c:tx>
            <c:strRef>
              <c:f>Distributions!$BE$20</c:f>
              <c:strCache>
                <c:ptCount val="1"/>
                <c:pt idx="0">
                  <c:v>本金余额占比</c:v>
                </c:pt>
              </c:strCache>
            </c:strRef>
          </c:tx>
          <c:spPr>
            <a:solidFill>
              <a:schemeClr val="accent2"/>
            </a:solidFill>
            <a:ln>
              <a:noFill/>
            </a:ln>
            <a:effectLst/>
          </c:spPr>
          <c:invertIfNegative val="0"/>
          <c:cat>
            <c:strRef>
              <c:f>Distributions!$BC$21:$BC$26</c:f>
              <c:strCache>
                <c:ptCount val="5"/>
                <c:pt idx="0">
                  <c:v>3c数码</c:v>
                </c:pt>
                <c:pt idx="1">
                  <c:v>家居</c:v>
                </c:pt>
                <c:pt idx="2">
                  <c:v>服饰</c:v>
                </c:pt>
                <c:pt idx="3">
                  <c:v>母婴</c:v>
                </c:pt>
                <c:pt idx="4">
                  <c:v>美容</c:v>
                </c:pt>
              </c:strCache>
            </c:strRef>
          </c:cat>
          <c:val>
            <c:numRef>
              <c:f>Distributions!$BE$21:$BE$26</c:f>
              <c:numCache>
                <c:formatCode>0.00%</c:formatCode>
                <c:ptCount val="5"/>
                <c:pt idx="0">
                  <c:v>0.34607837592447799</c:v>
                </c:pt>
                <c:pt idx="1">
                  <c:v>0.19615276408681337</c:v>
                </c:pt>
                <c:pt idx="2">
                  <c:v>0.16473999471964343</c:v>
                </c:pt>
                <c:pt idx="3">
                  <c:v>0.17221752976933588</c:v>
                </c:pt>
                <c:pt idx="4">
                  <c:v>0.12081133549972289</c:v>
                </c:pt>
              </c:numCache>
            </c:numRef>
          </c:val>
        </c:ser>
        <c:ser>
          <c:idx val="2"/>
          <c:order val="2"/>
          <c:tx>
            <c:strRef>
              <c:f>Distributions!$BF$20</c:f>
              <c:strCache>
                <c:ptCount val="1"/>
                <c:pt idx="0">
                  <c:v>贷款笔数</c:v>
                </c:pt>
              </c:strCache>
            </c:strRef>
          </c:tx>
          <c:spPr>
            <a:solidFill>
              <a:schemeClr val="accent3"/>
            </a:solidFill>
            <a:ln>
              <a:noFill/>
            </a:ln>
            <a:effectLst/>
          </c:spPr>
          <c:invertIfNegative val="0"/>
          <c:cat>
            <c:strRef>
              <c:f>Distributions!$BC$21:$BC$26</c:f>
              <c:strCache>
                <c:ptCount val="5"/>
                <c:pt idx="0">
                  <c:v>3c数码</c:v>
                </c:pt>
                <c:pt idx="1">
                  <c:v>家居</c:v>
                </c:pt>
                <c:pt idx="2">
                  <c:v>服饰</c:v>
                </c:pt>
                <c:pt idx="3">
                  <c:v>母婴</c:v>
                </c:pt>
                <c:pt idx="4">
                  <c:v>美容</c:v>
                </c:pt>
              </c:strCache>
            </c:strRef>
          </c:cat>
          <c:val>
            <c:numRef>
              <c:f>Distributions!$BF$21:$BF$26</c:f>
              <c:numCache>
                <c:formatCode>#,##0_);\(#,##0\)</c:formatCode>
                <c:ptCount val="5"/>
                <c:pt idx="0">
                  <c:v>61268</c:v>
                </c:pt>
                <c:pt idx="1">
                  <c:v>21740</c:v>
                </c:pt>
                <c:pt idx="2">
                  <c:v>27708</c:v>
                </c:pt>
                <c:pt idx="3">
                  <c:v>31780</c:v>
                </c:pt>
                <c:pt idx="4">
                  <c:v>15637</c:v>
                </c:pt>
              </c:numCache>
            </c:numRef>
          </c:val>
        </c:ser>
        <c:ser>
          <c:idx val="3"/>
          <c:order val="3"/>
          <c:tx>
            <c:strRef>
              <c:f>Distributions!$BG$20</c:f>
              <c:strCache>
                <c:ptCount val="1"/>
                <c:pt idx="0">
                  <c:v>贷款笔数占比</c:v>
                </c:pt>
              </c:strCache>
            </c:strRef>
          </c:tx>
          <c:spPr>
            <a:solidFill>
              <a:schemeClr val="accent4"/>
            </a:solidFill>
            <a:ln>
              <a:noFill/>
            </a:ln>
            <a:effectLst/>
          </c:spPr>
          <c:invertIfNegative val="0"/>
          <c:cat>
            <c:strRef>
              <c:f>Distributions!$BC$21:$BC$26</c:f>
              <c:strCache>
                <c:ptCount val="5"/>
                <c:pt idx="0">
                  <c:v>3c数码</c:v>
                </c:pt>
                <c:pt idx="1">
                  <c:v>家居</c:v>
                </c:pt>
                <c:pt idx="2">
                  <c:v>服饰</c:v>
                </c:pt>
                <c:pt idx="3">
                  <c:v>母婴</c:v>
                </c:pt>
                <c:pt idx="4">
                  <c:v>美容</c:v>
                </c:pt>
              </c:strCache>
            </c:strRef>
          </c:cat>
          <c:val>
            <c:numRef>
              <c:f>Distributions!$BG$21:$BG$26</c:f>
              <c:numCache>
                <c:formatCode>0.00%</c:formatCode>
                <c:ptCount val="5"/>
                <c:pt idx="0">
                  <c:v>0.38744601063661599</c:v>
                </c:pt>
                <c:pt idx="1">
                  <c:v>0.13747921053796489</c:v>
                </c:pt>
                <c:pt idx="2">
                  <c:v>0.17521959363320749</c:v>
                </c:pt>
                <c:pt idx="3">
                  <c:v>0.20097006949846016</c:v>
                </c:pt>
                <c:pt idx="4">
                  <c:v>9.8885115693751469E-2</c:v>
                </c:pt>
              </c:numCache>
            </c:numRef>
          </c:val>
        </c:ser>
        <c:dLbls>
          <c:showLegendKey val="0"/>
          <c:showVal val="0"/>
          <c:showCatName val="0"/>
          <c:showSerName val="0"/>
          <c:showPercent val="0"/>
          <c:showBubbleSize val="0"/>
        </c:dLbls>
        <c:gapWidth val="219"/>
        <c:overlap val="-27"/>
        <c:axId val="380933440"/>
        <c:axId val="380933832"/>
      </c:barChart>
      <c:catAx>
        <c:axId val="38093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3832"/>
        <c:crosses val="autoZero"/>
        <c:auto val="1"/>
        <c:lblAlgn val="ctr"/>
        <c:lblOffset val="100"/>
        <c:noMultiLvlLbl val="0"/>
      </c:catAx>
      <c:valAx>
        <c:axId val="38093383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093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2.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5.emf"/><Relationship Id="rId2" Type="http://schemas.openxmlformats.org/officeDocument/2006/relationships/image" Target="../media/image9.emf"/><Relationship Id="rId1" Type="http://schemas.openxmlformats.org/officeDocument/2006/relationships/image" Target="../media/image13.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5" Type="http://schemas.openxmlformats.org/officeDocument/2006/relationships/image" Target="../media/image1.emf"/><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1819275</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1819275</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114300</xdr:rowOff>
        </xdr:from>
        <xdr:to>
          <xdr:col>2</xdr:col>
          <xdr:colOff>1819275</xdr:colOff>
          <xdr:row>20</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20</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53</xdr:col>
      <xdr:colOff>2519363</xdr:colOff>
      <xdr:row>0</xdr:row>
      <xdr:rowOff>95250</xdr:rowOff>
    </xdr:from>
    <xdr:to>
      <xdr:col>58</xdr:col>
      <xdr:colOff>928688</xdr:colOff>
      <xdr:row>15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supdev" refreshedDate="42465.5827098379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39" level="32767"/>
    <cacheField name="[Measures].[Loan Count]" caption="Loan Count" numFmtId="0" hierarchy="151" level="32767"/>
    <cacheField name="[Current Rate Distribution].[Distributions Desc].[Distributions Desc]" caption="Distributions Desc" numFmtId="0" level="1" mappingCount="1">
      <sharedItems count="4">
        <s v="[Current Rate Distribution].[Distributions Desc].&amp;[0（含）% - 0.1（不含）%]" c="0（含）% - 0.1（不含）%" cp="1">
          <x/>
        </s>
        <s v="[Current Rate Distribution].[Distributions Desc].&amp;[0.3（含）% - 0.4（不含）%]" c="0.3（含）% - 0.4（不含）%" cp="1">
          <x v="1"/>
        </s>
        <s v="[Current Rate Distribution].[Distributions Desc].&amp;[0.5（含）% - 0.6（不含）%]" c="0.5（含）% - 0.6（不含）%" cp="1">
          <x v="2"/>
        </s>
        <s v="[Current Rate Distribution].[Distributions Desc].&amp;[0.8（含）% - 0.9（不含）%]" c="0.8（含）% - 0.9（不含）%" cp="1">
          <x v="3"/>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0" maxValue="90" count="4">
        <n v="10"/>
        <n v="40"/>
        <n v="60"/>
        <n v="90"/>
      </sharedItems>
    </cacheField>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supdev" refreshedDate="42465.582711226853" backgroundQuery="1" createdVersion="5" refreshedVersion="5" minRefreshableVersion="3" recordCount="0" supportSubquery="1" supportAdvancedDrill="1">
  <cacheSource type="external" connectionId="1"/>
  <cacheFields count="23">
    <cacheField name="[Measures].[Current Principal Balance]" caption="Current Principal Balance" numFmtId="0" hierarchy="139" level="32767"/>
    <cacheField name="[Measures].[Approval Amount]" caption="Approval Amount" numFmtId="0" hierarchy="138" level="32767"/>
    <cacheField name="[Measures].[Loan Count]" caption="Loan Count" numFmtId="0" hierarchy="151" level="32767"/>
    <cacheField name="[Measures].[Average Loan Balance]" caption="Average Loan Balance" numFmtId="0" hierarchy="165" level="32767"/>
    <cacheField name="[Measures].[Average Approval Amount]" caption="Average Approval Amount" numFmtId="0" hierarchy="166" level="32767"/>
    <cacheField name="[Measures].[Weighted Average Current Rate]" caption="Weighted Average Current Rate" numFmtId="0" hierarchy="167" level="32767"/>
    <cacheField name="[Measures].[Weighted Average Term]" caption="Weighted Average Term" numFmtId="0" hierarchy="170" level="32767"/>
    <cacheField name="[Measures].[Weighted Average Term To Maturity]" caption="Weighted Average Term To Maturity" numFmtId="0" hierarchy="171" level="32767"/>
    <cacheField name="[Measures].[Weighted Average Seasoning]" caption="Weighted Average Seasoning" numFmtId="0" hierarchy="169" level="32767"/>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View Dim EC Pass].[EC Pass No].[EC Pass No]" caption="EC Pass No" numFmtId="0" hierarchy="127" level="1">
      <sharedItems containsSemiMixedTypes="0" containsString="0"/>
    </cacheField>
    <cacheField name="[Measures].[Weighted Average Current Rate Target]" caption="Weighted Average Current Rate Target" numFmtId="0" hierarchy="161" level="32767"/>
    <cacheField name="[Measures].[Maximum Approval Amount]" caption="Maximum Approval Amount" numFmtId="0" hierarchy="153" level="32767"/>
    <cacheField name="[Measures].[Maximum Current Principal Balance]" caption="Maximum Current Principal Balance" numFmtId="0" hierarchy="152" level="32767"/>
    <cacheField name="[Measures].[Maximum Current Rate]" caption="Maximum Current Rate" numFmtId="0" hierarchy="154" level="32767"/>
    <cacheField name="[Measures].[Maximum Remaining Term]" caption="Maximum Remaining Term" numFmtId="0" hierarchy="155" level="32767"/>
    <cacheField name="[Measures].[Minimum Remaining Term]" caption="Minimum Remaining Term" numFmtId="0" hierarchy="156" level="32767"/>
    <cacheField name="[Measures].[No Fee Approval Amount Percentage]" caption="No Fee Approval Amount Percentage" numFmtId="0" hierarchy="172" level="32767"/>
    <cacheField name="[Measures].[Number Of Customer Sectors]" caption="Number Of Customer Sectors" numFmtId="0" hierarchy="173" level="32767"/>
    <cacheField name="[Measures].[Top5CustomerLoanAmount]" caption="Top5CustomerLoanAmount" numFmtId="0" hierarchy="174" level="32767"/>
  </cacheFields>
  <cacheHierarchies count="17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9"/>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oneField="1">
      <fieldsUsage count="1">
        <fieldUsage x="16"/>
      </fieldsUsage>
    </cacheHierarchy>
    <cacheHierarchy uniqueName="[Measures].[Maximum Approval Amount]" caption="Maximum Approval Amount" measure="1" displayFolder="" measureGroup="View Fact Loan" count="0" oneField="1">
      <fieldsUsage count="1">
        <fieldUsage x="15"/>
      </fieldsUsage>
    </cacheHierarchy>
    <cacheHierarchy uniqueName="[Measures].[Maximum Current Rate]" caption="Maximum Current Rate" measure="1" displayFolder="" measureGroup="View Fact Loan" count="0" oneField="1">
      <fieldsUsage count="1">
        <fieldUsage x="17"/>
      </fieldsUsage>
    </cacheHierarchy>
    <cacheHierarchy uniqueName="[Measures].[Maximum Remaining Term]" caption="Maximum Remaining Term" measure="1" displayFolder="" measureGroup="View Fact Loan" count="0" oneField="1">
      <fieldsUsage count="1">
        <fieldUsage x="18"/>
      </fieldsUsage>
    </cacheHierarchy>
    <cacheHierarchy uniqueName="[Measures].[Minimum Remaining Term]" caption="Minimum Remaining Term" measure="1" displayFolder="" measureGroup="View Fact Loan" count="0" oneField="1">
      <fieldsUsage count="1">
        <fieldUsage x="19"/>
      </fieldsUsage>
    </cacheHierarchy>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oneField="1">
      <fieldsUsage count="1">
        <fieldUsage x="14"/>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No Fee Approval Amount Percentage]" caption="No Fee Approval Amount Percentage" measure="1" displayFolder="" measureGroup="View Fact Loan" count="0" oneField="1">
      <fieldsUsage count="1">
        <fieldUsage x="20"/>
      </fieldsUsage>
    </cacheHierarchy>
    <cacheHierarchy uniqueName="[Measures].[Number Of Customer Sectors]" caption="Number Of Customer Sectors" measure="1" displayFolder="" measureGroup="View Fact Loan" count="0" oneField="1">
      <fieldsUsage count="1">
        <fieldUsage x="21"/>
      </fieldsUsage>
    </cacheHierarchy>
    <cacheHierarchy uniqueName="[Measures].[Top5CustomerLoanAmount]" caption="Top5CustomerLoanAmount" measure="1" displayFolder="" measureGroup="View Fact Loan" count="0" oneField="1">
      <fieldsUsage count="1">
        <fieldUsage x="22"/>
      </fieldsUsage>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supdev" refreshedDate="42465.582712731484" backgroundQuery="1" createdVersion="5" refreshedVersion="5" minRefreshableVersion="3" recordCount="0" supportSubquery="1" supportAdvancedDrill="1">
  <cacheSource type="external" connectionId="1"/>
  <cacheFields count="10">
    <cacheField name="[Loan].[Product Type].[Product Type]" caption="Product Type" numFmtId="0" hierarchy="107" level="1">
      <sharedItems count="5">
        <s v="[Loan].[Product Type].&amp;[3c数码]" c="3c数码"/>
        <s v="[Loan].[Product Type].&amp;[家居]" c="家居"/>
        <s v="[Loan].[Product Type].&amp;[服饰]" c="服饰"/>
        <s v="[Loan].[Product Type].&amp;[母婴]" c="母婴"/>
        <s v="[Loan].[Product Type].&amp;[美容]" c="美容"/>
      </sharedItems>
    </cacheField>
    <cacheField name="[Measures].[Loan Count]" caption="Loan Count" numFmtId="0" hierarchy="151" level="32767"/>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View Dim EC Pass].[EC Pass No].[EC Pass No]" caption="EC Pass No" numFmtId="0" hierarchy="127" level="1">
      <sharedItems containsSemiMixedTypes="0" containsString="0"/>
    </cacheField>
    <cacheField name="[Measures].[Current Principal Balance]" caption="Current Principal Balance" numFmtId="0" hierarchy="139" level="32767"/>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2" unbalanced="0">
      <fieldsUsage count="2">
        <fieldUsage x="-1"/>
        <fieldUsage x="0"/>
      </fieldsUsage>
    </cacheHierarchy>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6"/>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7"/>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supdev" refreshedDate="42465.58271412037"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39" level="32767"/>
    <cacheField name="[Measures].[Loan Count]" caption="Loan Count" numFmtId="0" hierarchy="151" level="32767"/>
    <cacheField name="[Customer].[Customer Sector].[Customer Sector]" caption="Customer Sector" numFmtId="0" hierarchy="13" level="1">
      <sharedItems count="1">
        <s v="[Customer].[Customer Sector].&amp;[]" c=""/>
      </sharedItems>
    </cacheField>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supdev" refreshedDate="42465.582715046294"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39" level="32767"/>
    <cacheField name="[Measures].[Loan Count]" caption="Loan Count" numFmtId="0" hierarchy="151" level="32767"/>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supdev" refreshedDate="42465.582716550925"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39" level="32767"/>
    <cacheField name="[Measures].[Loan Count]" caption="Loan Count" numFmtId="0" hierarchy="151" level="32767"/>
    <cacheField name="[Seasoning Distribution].[Distributions Desc].[Distributions Desc]" caption="Distributions Desc" numFmtId="0" hierarchy="124" level="1" mappingCount="1">
      <sharedItems count="3">
        <s v="[Seasoning Distribution].[Distributions Desc].&amp;[0-3 个月]" c="0-3 个月" cp="1">
          <x/>
        </s>
        <s v="[Seasoning Distribution].[Distributions Desc].&amp;[6-9 个月]" c="6-9 个月" cp="1">
          <x v="1"/>
        </s>
        <s v="[Seasoning Distribution].[Distributions Desc].&amp;[12-15 个月]" c="12-15 个月" cp="1">
          <x v="2"/>
        </s>
      </sharedItems>
      <mpMap v="3"/>
    </cacheField>
    <cacheField name="[Seasoning Distribution].[Distributions Desc].[Distributions Desc].[Sort Key]" caption="Sort Key" propertyName="Sort Key" numFmtId="0" hierarchy="124" level="1" memberPropertyField="1">
      <sharedItems containsSemiMixedTypes="0" containsString="0" containsNumber="1" containsInteger="1" minValue="0" maxValue="25" count="3">
        <n v="0"/>
        <n v="15"/>
        <n v="25"/>
      </sharedItems>
    </cacheField>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supdev" refreshedDate="42465.582720370374"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131" level="32767"/>
    <cacheField name="[Pool].[Dim Pool ID].[Dim Pool ID]" caption="Dim Pool ID" numFmtId="0" hierarchy="115" level="1" mappingCount="3">
      <sharedItems count="3">
        <s v="[Pool].[Dim Pool ID].&amp;[237]" c="237" cp="3">
          <x/>
          <x/>
          <x/>
        </s>
        <s v="[Pool].[Dim Pool ID].&amp;[238]" c="238" cp="3">
          <x/>
          <x/>
          <x v="1"/>
        </s>
        <s v="[Pool].[Dim Pool ID].&amp;[239]" c="239" cp="3">
          <x/>
          <x/>
          <x v="1"/>
        </s>
      </sharedItems>
      <mpMap v="2"/>
      <mpMap v="3"/>
      <mpMap v="4"/>
    </cacheField>
    <cacheField name="[Pool].[Dim Pool ID].[Dim Pool ID].[Dim Organisation ID]" caption="Dim Organisation ID" propertyName="Dim Organisation ID" numFmtId="0" hierarchy="11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15" level="1" memberPropertyField="1">
      <sharedItems containsSemiMixedTypes="0" containsString="0" containsNumber="1" containsInteger="1" minValue="20150903" maxValue="20150903" count="1">
        <n v="20150903"/>
      </sharedItems>
    </cacheField>
    <cacheField name="[Pool].[Dim Pool ID].[Dim Pool ID].[Target Sql Connection]" caption="Target Sql Connection" propertyName="Target Sql Connection" numFmtId="0" hierarchy="115" level="1" memberPropertyField="1">
      <sharedItems count="2">
        <s v="Data Source=DAL_SEC;Initial Catalog=Job_2_20150903_237;Integrated Security=SSPI;"/>
        <s v="Server=DAL_SEC;Database=Job_2_20150903_237;Trusted_Connection=True;"/>
      </sharedItems>
    </cacheField>
    <cacheField name="[EC].[Criteria ID].[Criteria ID]" caption="Criteria ID" numFmtId="0" hierarchy="84" level="1" mappingCount="6">
      <sharedItems count="5">
        <s v="[EC].[Criteria ID].&amp;[237]&amp;[11010]" c="JD_EC04_LoanEndDate" cp="6">
          <x/>
          <x/>
          <x/>
          <x/>
          <x/>
          <x/>
        </s>
        <s v="[EC].[Criteria ID].&amp;[237]&amp;[11012]" c="JD_EC15_HistoricalDaysInArrears" cp="6">
          <x v="1"/>
          <x/>
          <x/>
          <x v="1"/>
          <x/>
          <x v="1"/>
        </s>
        <s v="[EC].[Criteria ID].&amp;[237]&amp;[11013]" c="JD_EC19_TimesInArrears" cp="6">
          <x v="2"/>
          <x/>
          <x/>
          <x v="1"/>
          <x/>
          <x v="2"/>
        </s>
        <s v="[EC].[Criteria ID].&amp;[238]&amp;[11014]" c="ECT1_Targeting_Parent" cp="6">
          <x v="3"/>
          <x/>
          <x/>
          <x v="2"/>
          <x v="1"/>
          <x v="3"/>
        </s>
        <s v="[EC].[Criteria ID].&amp;[239]&amp;[11015]" c="ECT2_Targeting_Size" cp="6">
          <x v="4"/>
          <x/>
          <x/>
          <x v="2"/>
          <x v="2"/>
          <x v="4"/>
        </s>
      </sharedItems>
      <mpMap v="6"/>
      <mpMap v="7"/>
      <mpMap v="8"/>
      <mpMap v="9"/>
      <mpMap v="10"/>
      <mpMap v="11"/>
    </cacheField>
    <cacheField name="[EC].[Criteria ID].[Criteria ID].[Criteria Description]" caption="Criteria Description" propertyName="Criteria Description" numFmtId="0" hierarchy="84" level="1" memberPropertyField="1">
      <sharedItems count="5">
        <s v="排除贷款截止日期无效的贷款"/>
        <s v="排除商城历史逾期天数无效的贷款"/>
        <s v="排除客户逾期次数无效的贷款"/>
        <s v="统计属性目标化"/>
        <s v="待销售资产池目标化"/>
      </sharedItems>
    </cacheField>
    <cacheField name="[EC].[Criteria ID].[Criteria ID].[Criteria Report Type]" caption="Criteria Report Type" propertyName="Criteria Report Type" numFmtId="0" hierarchy="84" level="1" memberPropertyField="1">
      <sharedItems count="1">
        <s v="Loan EC Report"/>
      </sharedItems>
    </cacheField>
    <cacheField name="[EC].[Criteria ID].[Criteria ID].[Criteria Set]" caption="Criteria Set" propertyName="Criteria Set" numFmtId="0" hierarchy="84" level="1" memberPropertyField="1">
      <sharedItems count="1">
        <s v="ECSetNZDDefault"/>
      </sharedItems>
    </cacheField>
    <cacheField name="[EC].[Criteria ID].[Criteria ID].[Criteria Type]" caption="Criteria Type" propertyName="Criteria Type" numFmtId="0" hierarchy="84" level="1" memberPropertyField="1">
      <sharedItems count="3">
        <s v="Product"/>
        <s v="Customer"/>
        <s v="Targeting"/>
      </sharedItems>
    </cacheField>
    <cacheField name="[EC].[Criteria ID].[Criteria ID].[EC Pass]" caption="EC Pass" propertyName="EC Pass" numFmtId="0" hierarchy="84" level="1" memberPropertyField="1">
      <sharedItems count="3">
        <s v="ECPass1"/>
        <s v="TargetingPass"/>
        <s v="ChildPass"/>
      </sharedItems>
    </cacheField>
    <cacheField name="[EC].[Criteria ID].[Criteria ID].[Sequence No]" caption="Sequence No" propertyName="Sequence No" numFmtId="0" hierarchy="84" level="1" memberPropertyField="1">
      <sharedItems containsSemiMixedTypes="0" containsString="0" containsNumber="1" containsInteger="1" minValue="2" maxValue="7" count="5">
        <n v="2"/>
        <n v="4"/>
        <n v="5"/>
        <n v="6"/>
        <n v="7"/>
      </sharedItems>
    </cacheField>
    <cacheField name="[View Dim EC Pass].[EC Pass No].[EC Pass No]" caption="EC Pass No" numFmtId="0" hierarchy="127" level="1">
      <sharedItems containsSemiMixedTypes="0" containsString="0"/>
    </cacheField>
    <cacheField name="[Measures].[Tbl Fact Customer EC Result Count]" caption="Tbl Fact Customer EC Result Count" numFmtId="0" hierarchy="160" level="32767"/>
  </cacheFields>
  <cacheHierarchies count="17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supdev" refreshedDate="42465.58272175926" backgroundQuery="1" createdVersion="5" refreshedVersion="5" minRefreshableVersion="3" recordCount="0" supportSubquery="1" supportAdvancedDrill="1">
  <cacheSource type="external" connectionId="1"/>
  <cacheFields count="6">
    <cacheField name="[Measures].[Fact Report Count]" caption="Fact Report Count" numFmtId="0" hierarchy="159" level="32767"/>
    <cacheField name="[Dimension Function].[Report ID].[Report ID]" caption="Report ID" numFmtId="0" hierarchy="80" level="1">
      <sharedItems count="2">
        <s v="[Dimension Function].[Report ID].&amp;[2]" c="现金流归集报表"/>
        <s v="[Dimension Function].[Report ID].&amp;[1]" c="评级机构资产池详细报表"/>
      </sharedItems>
    </cacheField>
    <cacheField name="[Pool].[Dim Pool ID].[Dim Pool ID]" caption="Dim Pool ID" numFmtId="0" hierarchy="115" level="1" mappingCount="3">
      <sharedItems count="3">
        <s v="[Pool].[Dim Pool ID].&amp;[237]" c="237" cp="3">
          <x/>
          <x/>
          <x/>
        </s>
        <s v="[Pool].[Dim Pool ID].&amp;[238]" c="238" cp="3">
          <x/>
          <x/>
          <x v="1"/>
        </s>
        <s v="[Pool].[Dim Pool ID].&amp;[239]" c="239" cp="3">
          <x/>
          <x/>
          <x v="1"/>
        </s>
      </sharedItems>
      <mpMap v="3"/>
      <mpMap v="4"/>
      <mpMap v="5"/>
    </cacheField>
    <cacheField name="[Pool].[Dim Pool ID].[Dim Pool ID].[Dim Organisation ID]" caption="Dim Organisation ID" propertyName="Dim Organisation ID" numFmtId="0" hierarchy="11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15" level="1" memberPropertyField="1">
      <sharedItems containsSemiMixedTypes="0" containsString="0" containsNumber="1" containsInteger="1" minValue="20150903" maxValue="20150903" count="1">
        <n v="20150903"/>
      </sharedItems>
    </cacheField>
    <cacheField name="[Pool].[Dim Pool ID].[Dim Pool ID].[Target Sql Connection]" caption="Target Sql Connection" propertyName="Target Sql Connection" numFmtId="0" hierarchy="115" level="1" memberPropertyField="1">
      <sharedItems count="2">
        <s v="Data Source=DAL_SEC;Initial Catalog=Job_2_20150903_237;Integrated Security=SSPI;"/>
        <s v="Server=DAL_SEC;Database=Job_2_20150903_237;Trusted_Connection=True;"/>
      </sharedItems>
    </cacheField>
  </cacheFields>
  <cacheHierarchies count="17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supdev" refreshedDate="42465.582723263891"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111" level="1" mappingCount="1">
      <sharedItems count="4">
        <s v="[Loan Term Distribution].[Distributions Desc].&amp;[3 个月]" c="3 个月" cp="1">
          <x/>
        </s>
        <s v="[Loan Term Distribution].[Distributions Desc].&amp;[6 个月]" c="6 个月" cp="1">
          <x v="1"/>
        </s>
        <s v="[Loan Term Distribution].[Distributions Desc].&amp;[12 个月]" c="12 个月" cp="1">
          <x v="2"/>
        </s>
        <s v="[Loan Term Distribution].[Distributions Desc].&amp;[24 个月]" c="24 个月" cp="1">
          <x v="3"/>
        </s>
      </sharedItems>
      <mpMap v="1"/>
    </cacheField>
    <cacheField name="[Loan Term Distribution].[Distributions Desc].[Distributions Desc].[Sort Key]" caption="Sort Key" propertyName="Sort Key" numFmtId="0" hierarchy="111" level="1" memberPropertyField="1">
      <sharedItems containsSemiMixedTypes="0" containsString="0" containsNumber="1" containsInteger="1" minValue="15" maxValue="30" count="4">
        <n v="15"/>
        <n v="20"/>
        <n v="25"/>
        <n v="30"/>
      </sharedItems>
    </cacheField>
    <cacheField name="[Measures].[Current Principal Balance]" caption="Current Principal Balance" numFmtId="0" hierarchy="139" level="32767"/>
    <cacheField name="[Measures].[Loan Count]" caption="Loan Count" numFmtId="0" hierarchy="151" level="32767"/>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supdev" refreshedDate="42465.58272476851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39" level="32767"/>
    <cacheField name="[Measures].[Loan Count]" caption="Loan Count" numFmtId="0" hierarchy="151" level="32767"/>
    <cacheField name="[Remaining Term Distribution].[Distributions Desc].[Distributions Desc]" caption="Distributions Desc" numFmtId="0" hierarchy="121" level="1" mappingCount="1">
      <sharedItems count="7">
        <s v="[Remaining Term Distribution].[Distributions Desc].&amp;[0-3 个月]" c="0-3 个月" cp="1">
          <x/>
        </s>
        <s v="[Remaining Term Distribution].[Distributions Desc].&amp;[3-6 个月]" c="3-6 个月" cp="1">
          <x v="1"/>
        </s>
        <s v="[Remaining Term Distribution].[Distributions Desc].&amp;[6-9 个月]" c="6-9 个月" cp="1">
          <x v="2"/>
        </s>
        <s v="[Remaining Term Distribution].[Distributions Desc].&amp;[9-12 个月]" c="9-12 个月" cp="1">
          <x v="3"/>
        </s>
        <s v="[Remaining Term Distribution].[Distributions Desc].&amp;[12-15 个月]" c="12-15 个月" cp="1">
          <x v="4"/>
        </s>
        <s v="[Remaining Term Distribution].[Distributions Desc].&amp;[15-18 个月]" c="15-18 个月" cp="1">
          <x v="5"/>
        </s>
        <s v="[Remaining Term Distribution].[Distributions Desc].&amp;[18-21 个月]" c="18-21 个月" cp="1">
          <x v="6"/>
        </s>
      </sharedItems>
      <mpMap v="3"/>
    </cacheField>
    <cacheField name="[Remaining Term Distribution].[Distributions Desc].[Distributions Desc].[Sort Key]" caption="Sort Key" propertyName="Sort Key" numFmtId="0" hierarchy="121" level="1" memberPropertyField="1">
      <sharedItems containsSemiMixedTypes="0" containsString="0" containsNumber="1" containsInteger="1" minValue="0" maxValue="40" count="7">
        <n v="0"/>
        <n v="10"/>
        <n v="15"/>
        <n v="20"/>
        <n v="25"/>
        <n v="30"/>
        <n v="40"/>
      </sharedItems>
    </cacheField>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supdev" refreshedDate="42465.58272615740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39" level="32767"/>
    <cacheField name="[Measures].[Loan Count]" caption="Loan Count" numFmtId="0" hierarchy="151" level="32767"/>
    <cacheField name="[Principal Balance Distribution].[Distributions Desc].[Distributions Desc]" caption="Distributions Desc" numFmtId="0" hierarchy="118" level="1" mappingCount="1">
      <sharedItems count="10">
        <s v="[Principal Balance Distribution].[Distributions Desc].&amp;[0元 - 1000元]" c="0元 - 1000元" cp="1">
          <x/>
        </s>
        <s v="[Principal Balance Distribution].[Distributions Desc].&amp;[1000元 - 2000元]" c="1000元 - 2000元" cp="1">
          <x v="1"/>
        </s>
        <s v="[Principal Balance Distribution].[Distributions Desc].&amp;[2000元 - 3000元]" c="2000元 - 3000元" cp="1">
          <x v="2"/>
        </s>
        <s v="[Principal Balance Distribution].[Distributions Desc].&amp;[3000元 - 4000元]" c="3000元 - 4000元" cp="1">
          <x v="3"/>
        </s>
        <s v="[Principal Balance Distribution].[Distributions Desc].&amp;[4000元 - 5000元]" c="4000元 - 5000元" cp="1">
          <x v="4"/>
        </s>
        <s v="[Principal Balance Distribution].[Distributions Desc].&amp;[5000元 - 6000元]" c="5000元 - 6000元" cp="1">
          <x v="5"/>
        </s>
        <s v="[Principal Balance Distribution].[Distributions Desc].&amp;[6000元 - 7000元]" c="6000元 - 7000元" cp="1">
          <x v="6"/>
        </s>
        <s v="[Principal Balance Distribution].[Distributions Desc].&amp;[7000元 - 8000元]" c="7000元 - 8000元" cp="1">
          <x v="7"/>
        </s>
        <s v="[Principal Balance Distribution].[Distributions Desc].&amp;[8000元 - 9000元]" c="8000元 - 9000元" cp="1">
          <x v="8"/>
        </s>
        <s v="[Principal Balance Distribution].[Distributions Desc].&amp;[9000元 - 10000元]" c="9000元 - 10000元" cp="1">
          <x v="9"/>
        </s>
      </sharedItems>
      <mpMap v="3"/>
    </cacheField>
    <cacheField name="[Principal Balance Distribution].[Distributions Desc].[Distributions Desc].[Sort Key]" caption="Sort Key" propertyName="Sort Key" numFmtId="0" hierarchy="118" level="1" memberPropertyField="1">
      <sharedItems containsSemiMixedTypes="0" containsString="0" containsNumber="1" containsInteger="1" minValue="10" maxValue="100" count="10">
        <n v="10"/>
        <n v="20"/>
        <n v="30"/>
        <n v="40"/>
        <n v="50"/>
        <n v="60"/>
        <n v="70"/>
        <n v="80"/>
        <n v="90"/>
        <n v="100"/>
      </sharedItems>
    </cacheField>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supdev" refreshedDate="42465.582727546294"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39" level="32767"/>
    <cacheField name="[Measures].[Loan Count]" caption="Loan Count" numFmtId="0" hierarchy="151" level="32767"/>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supdev" refreshedDate="42465.582728587964"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39" level="32767"/>
    <cacheField name="[Measures].[Loan Count]" caption="Loan Count" numFmtId="0" hierarchy="151" level="32767"/>
    <cacheField name="[View Dim EC Pass].[EC Pass No].[EC Pass No]" caption="EC Pass No" numFmtId="0" hierarchy="127" level="1">
      <sharedItems containsSemiMixedTypes="0" containsString="0"/>
    </cacheField>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Dummy0" numFmtId="0" hierarchy="175" level="32767">
      <extLst>
        <ext xmlns:x14="http://schemas.microsoft.com/office/spreadsheetml/2009/9/main" uri="{63CAB8AC-B538-458d-9737-405883B0398D}">
          <x14:cacheField ignore="1"/>
        </ext>
      </extLst>
    </cacheField>
    <cacheField name="Dummy1" numFmtId="0" hierarchy="176" level="32767">
      <extLst>
        <ext xmlns:x14="http://schemas.microsoft.com/office/spreadsheetml/2009/9/main" uri="{63CAB8AC-B538-458d-9737-405883B0398D}">
          <x14:cacheField ignore="1"/>
        </ext>
      </extLst>
    </cacheField>
  </cacheFields>
  <cacheHierarchies count="17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supdev" refreshedDate="42465.582729166665" backgroundQuery="1" createdVersion="4" refreshedVersion="5" minRefreshableVersion="3" recordCount="0" supportSubquery="1" supportAdvancedDrill="1">
  <cacheSource type="external" connectionId="1"/>
  <cacheFields count="5">
    <cacheField name="[Pool].[Dim Pool ID].[Dim Pool ID]" caption="Dim Pool ID" numFmtId="0" hierarchy="115" level="1">
      <sharedItems containsSemiMixedTypes="0" containsString="0"/>
    </cacheField>
    <cacheField name="[Pool].[Dim Pool ID].[Dim Pool ID].[Dim Organisation ID]" caption="Dim Organisation ID" propertyName="Dim Organisation ID" numFmtId="0" hierarchy="115" level="1" memberPropertyField="1">
      <sharedItems containsSemiMixedTypes="0" containsString="0"/>
    </cacheField>
    <cacheField name="[Pool].[Dim Pool ID].[Dim Pool ID].[Dim Reporting Date ID]" caption="Dim Reporting Date ID" propertyName="Dim Reporting Date ID" numFmtId="0" hierarchy="115" level="1" memberPropertyField="1">
      <sharedItems containsSemiMixedTypes="0" containsString="0"/>
    </cacheField>
    <cacheField name="[Pool].[Dim Pool ID].[Dim Pool ID].[Target Sql Connection]" caption="Target Sql Connection" propertyName="Target Sql Connection" numFmtId="0" hierarchy="115" level="1" memberPropertyField="1">
      <sharedItems containsSemiMixedTypes="0" containsString="0"/>
    </cacheField>
    <cacheField name="[View Dim EC Pass].[EC Pass No].[EC Pass No]" caption="EC Pass No" numFmtId="0" hierarchy="127" level="1">
      <sharedItems containsSemiMixedTypes="0" containsString="0"/>
    </cacheField>
  </cacheFields>
  <cacheHierarchies count="17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7">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EC Pass" uniqueName="[View Dim EC Pass]" caption="View Dim EC Pas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1">
    <map measureGroup="0" dimension="6"/>
    <map measureGroup="1" dimension="1"/>
    <map measureGroup="1" dimension="5"/>
    <map measureGroup="1" dimension="12"/>
    <map measureGroup="1" dimension="16"/>
    <map measureGroup="2" dimension="4"/>
    <map measureGroup="2" dimension="5"/>
    <map measureGroup="2" dimension="12"/>
    <map measureGroup="2" dimension="16"/>
    <map measureGroup="3" dimension="1"/>
    <map measureGroup="3" dimension="5"/>
    <map measureGroup="3" dimension="8"/>
    <map measureGroup="3" dimension="12"/>
    <map measureGroup="3" dimension="16"/>
    <map measureGroup="4" dimension="5"/>
    <map measureGroup="4" dimension="12"/>
    <map measureGroup="4" dimension="16"/>
    <map measureGroup="5" dimension="5"/>
    <map measureGroup="5" dimension="12"/>
    <map measureGroup="5" dimension="16"/>
    <map measureGroup="6" dimension="5"/>
    <map measureGroup="6" dimension="8"/>
    <map measureGroup="6" dimension="9"/>
    <map measureGroup="6" dimension="12"/>
    <map measureGroup="6" dimension="16"/>
    <map measureGroup="7" dimension="5"/>
    <map measureGroup="7" dimension="12"/>
    <map measureGroup="7" dimension="16"/>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9" dimension="1"/>
    <map measureGroup="9" dimension="2"/>
    <map measureGroup="9" dimension="5"/>
    <map measureGroup="9" dimension="9"/>
    <map measureGroup="9" dimension="12"/>
    <map measureGroup="9" dimension="16"/>
    <map measureGroup="10" dimension="4"/>
    <map measureGroup="10" dimension="5"/>
    <map measureGroup="10" dimension="12"/>
    <map measureGroup="10"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supdev" refreshedDate="42465.582717708334"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7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extLst>
    <ext xmlns:x14="http://schemas.microsoft.com/office/spreadsheetml/2009/9/main" uri="{725AE2AE-9491-48be-B2B4-4EB974FC3084}">
      <x14:pivotCacheDefinition slicerData="1" pivotCacheId="13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tFilter" cacheId="218"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115" name="[Pool].[Dim Pool ID].[All]" cap="All"/>
    <pageField fld="4" hier="127" name="[View Dim EC Pass].[EC Pass No].&amp;[ECPass3]" cap="ECPass3"/>
  </pageFields>
  <pivotHierarchies count="17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181"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22" firstHeaderRow="1" firstDataRow="1" firstDataCol="1" rowPageCount="2" colPageCount="1"/>
  <pivotFields count="23">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18">
    <i>
      <x/>
    </i>
    <i i="1">
      <x v="1"/>
    </i>
    <i i="2">
      <x v="2"/>
    </i>
    <i i="3">
      <x v="3"/>
    </i>
    <i i="4">
      <x v="4"/>
    </i>
    <i i="5">
      <x v="5"/>
    </i>
    <i i="6">
      <x v="6"/>
    </i>
    <i i="7">
      <x v="7"/>
    </i>
    <i i="8">
      <x v="8"/>
    </i>
    <i i="9">
      <x v="9"/>
    </i>
    <i i="10">
      <x v="10"/>
    </i>
    <i i="11">
      <x v="11"/>
    </i>
    <i i="12">
      <x v="12"/>
    </i>
    <i i="13">
      <x v="13"/>
    </i>
    <i i="14">
      <x v="14"/>
    </i>
    <i i="15">
      <x v="15"/>
    </i>
    <i i="16">
      <x v="16"/>
    </i>
    <i i="17">
      <x v="17"/>
    </i>
  </rowItems>
  <colItems count="1">
    <i/>
  </colItems>
  <pageFields count="2">
    <pageField fld="9" hier="115" name="[Pool].[Dim Pool ID].[All]" cap="All"/>
    <pageField fld="13" hier="127" name="[View Dim EC Pass].[EC Pass No].&amp;[ECPass3]" cap="ECPass3"/>
  </pageFields>
  <dataFields count="18">
    <dataField name="资产池未偿本金余额总额" fld="0" baseField="0" baseItem="0" numFmtId="178"/>
    <dataField name="合同总金额" fld="1" baseField="0" baseItem="0"/>
    <dataField name="贷款笔数" fld="2" baseField="0" baseItem="0"/>
    <dataField name="平均本金余额" fld="3" baseField="0" baseItem="0"/>
    <dataField name="平均合同金额" fld="4" baseField="0" baseItem="0"/>
    <dataField name="加权平均贷款月利率" fld="5" baseField="0" baseItem="0"/>
    <dataField name="加权平均贷款年利率" fld="14" baseField="0" baseItem="0"/>
    <dataField name="加权平均贷款合同期限" fld="6" baseField="0" baseItem="0"/>
    <dataField name="加权平均贷款剩余期限" fld="7" baseField="0" baseItem="0" numFmtId="2"/>
    <dataField name="加权平均贷款账龄" fld="8" baseField="0" baseItem="0"/>
    <dataField name="最高合同金额" fld="15" baseField="0" baseItem="0"/>
    <dataField name="最高剩余本金余额" fld="16" baseField="0" baseItem="0"/>
    <dataField name="最高月利率" fld="17" baseField="0" baseItem="0"/>
    <dataField name="最长剩余期限" fld="18" baseField="0" baseItem="0"/>
    <dataField name="最短剩余期限" fld="19" baseField="0" baseItem="0"/>
    <dataField name="无息合同金额占比" fld="20" baseField="0" baseItem="0"/>
    <dataField name="客户地理区域分布数量" fld="21" baseField="0" baseItem="0"/>
    <dataField name="合同金额最高的前10000名客户总金额占比" fld="22" baseField="0" baseItem="0"/>
  </dataFields>
  <formats count="5">
    <format dxfId="49">
      <pivotArea collapsedLevelsAreSubtotals="1" fieldPosition="0">
        <references count="1">
          <reference field="4294967294" count="1">
            <x v="1"/>
          </reference>
        </references>
      </pivotArea>
    </format>
    <format dxfId="48">
      <pivotArea collapsedLevelsAreSubtotals="1" fieldPosition="0">
        <references count="1">
          <reference field="4294967294" count="1">
            <x v="3"/>
          </reference>
        </references>
      </pivotArea>
    </format>
    <format dxfId="47">
      <pivotArea collapsedLevelsAreSubtotals="1" fieldPosition="0">
        <references count="1">
          <reference field="4294967294" count="1">
            <x v="4"/>
          </reference>
        </references>
      </pivotArea>
    </format>
    <format dxfId="46">
      <pivotArea outline="0" fieldPosition="0">
        <references count="1">
          <reference field="4294967294" count="1">
            <x v="8"/>
          </reference>
        </references>
      </pivotArea>
    </format>
    <format dxfId="45">
      <pivotArea collapsedLevelsAreSubtotals="1" fieldPosition="0">
        <references count="1">
          <reference field="4294967294" count="1">
            <x v="9"/>
          </reference>
        </references>
      </pivotArea>
    </format>
  </formats>
  <pivotHierarchies count="17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0"/>
        <mp field="11"/>
        <mp field="12"/>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caption="最高剩余本金余额"/>
    <pivotHierarchy dragToRow="0" dragToCol="0" dragToPage="0" dragToData="1" caption="最高合同金额"/>
    <pivotHierarchy dragToRow="0" dragToCol="0" dragToPage="0" dragToData="1" caption="最高月利率"/>
    <pivotHierarchy dragToRow="0" dragToCol="0" dragToPage="0" dragToData="1" caption="最长剩余期限"/>
    <pivotHierarchy dragToRow="0" dragToCol="0" dragToPage="0" dragToData="1" caption="最短剩余期限"/>
    <pivotHierarchy dragToRow="0" dragToCol="0" dragToPage="0" dragToData="1"/>
    <pivotHierarchy dragToRow="0" dragToCol="0" dragToPage="0" dragToData="1" caption="加权贷款年利率"/>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月利率"/>
    <pivotHierarchy dragToRow="0" dragToCol="0" dragToPage="0" dragToData="1"/>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caption="无息合同金额占比"/>
    <pivotHierarchy dragToRow="0" dragToCol="0" dragToPage="0" dragToData="1" caption="客户地理区域分布数量"/>
    <pivotHierarchy dragToRow="0" dragToCol="0" dragToPage="0" dragToData="1" caption="合同金额最高的前10000名客户总金额占比"/>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Balance" cacheId="20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1" firstHeaderRow="0" firstDataRow="1" firstDataCol="1" rowPageCount="2" colPageCount="1"/>
  <pivotFields count="1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1">
    <i>
      <x/>
    </i>
    <i>
      <x v="1"/>
    </i>
    <i>
      <x v="2"/>
    </i>
    <i>
      <x v="3"/>
    </i>
    <i>
      <x v="4"/>
    </i>
    <i>
      <x v="5"/>
    </i>
    <i>
      <x v="6"/>
    </i>
    <i>
      <x v="7"/>
    </i>
    <i>
      <x v="8"/>
    </i>
    <i>
      <x v="9"/>
    </i>
    <i t="grand">
      <x/>
    </i>
  </rowItems>
  <colFields count="1">
    <field x="-2"/>
  </colFields>
  <colItems count="4">
    <i>
      <x/>
    </i>
    <i i="1">
      <x v="1"/>
    </i>
    <i i="2">
      <x v="2"/>
    </i>
    <i i="3">
      <x v="3"/>
    </i>
  </colItems>
  <pageFields count="2">
    <pageField fld="5" hier="115" name="[Pool].[Dim Pool ID].[All]" cap="All"/>
    <pageField fld="4" hier="127"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
      <pivotArea dataOnly="0" labelOnly="1" outline="0" fieldPosition="0">
        <references count="1">
          <reference field="4294967294" count="1">
            <x v="0"/>
          </reference>
        </references>
      </pivotArea>
    </format>
    <format dxfId="3">
      <pivotArea outline="0" fieldPosition="0">
        <references count="1">
          <reference field="4294967294" count="1">
            <x v="1"/>
          </reference>
        </references>
      </pivotArea>
    </format>
    <format dxfId="2">
      <pivotArea dataOnly="0" labelOnly="1" outline="0" fieldPosition="0">
        <references count="1">
          <reference field="4294967294" count="1">
            <x v="1"/>
          </reference>
        </references>
      </pivotArea>
    </format>
    <format dxfId="1">
      <pivotArea dataOnly="0" outline="0" fieldPosition="0">
        <references count="1">
          <reference field="4294967294" count="1">
            <x v="2"/>
          </reference>
        </references>
      </pivotArea>
    </format>
    <format dxfId="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ProductType" cacheId="18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 rowHeaderCaption="商品品类分布" fieldListSortAscending="1">
  <location ref="BC20:BG26" firstHeaderRow="0" firstDataRow="1" firstDataCol="1" rowPageCount="2" colPageCount="1"/>
  <pivotFields count="10">
    <pivotField axis="axisRow" allDrilled="1" showAll="0" dataSourceSort="1" defaultAttributeDrillState="1">
      <items count="6">
        <item x="0"/>
        <item x="1"/>
        <item x="2"/>
        <item x="3"/>
        <item x="4"/>
        <item t="default"/>
      </items>
    </pivotField>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6">
    <i>
      <x/>
    </i>
    <i>
      <x v="1"/>
    </i>
    <i>
      <x v="2"/>
    </i>
    <i>
      <x v="3"/>
    </i>
    <i>
      <x v="4"/>
    </i>
    <i t="grand">
      <x/>
    </i>
  </rowItems>
  <colFields count="1">
    <field x="-2"/>
  </colFields>
  <colItems count="4">
    <i>
      <x/>
    </i>
    <i i="1">
      <x v="1"/>
    </i>
    <i i="2">
      <x v="2"/>
    </i>
    <i i="3">
      <x v="3"/>
    </i>
  </colItems>
  <pageFields count="2">
    <pageField fld="2" hier="115" name="[Pool].[Dim Pool ID].[All]" cap="All"/>
    <pageField fld="6" hier="127" name="[View Dim EC Pass].[EC Pass No].&amp;[ECPass3]" cap="ECPass3"/>
  </pageFields>
  <dataFields count="4">
    <dataField name="本金余额" fld="7" baseField="0" baseItem="0"/>
    <dataField name="本金余额占比" fld="8" showDataAs="percentOfTotal" baseField="0" baseItem="0" numFmtId="10">
      <extLst>
        <ext xmlns:x14="http://schemas.microsoft.com/office/spreadsheetml/2009/9/main" uri="{E15A36E0-9728-4e99-A89B-3F7291B0FE68}">
          <x14:dataField sourceField="7" uniqueName="[__Xl2].[Measures].[Current Principal Balance]"/>
        </ext>
      </extLst>
    </dataField>
    <dataField name="贷款笔数"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chartFormats count="4">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3"/>
        <mp field="4"/>
        <mp field="5"/>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占比"/>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Seasoning" cacheId="19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24" firstHeaderRow="0" firstDataRow="1" firstDataCol="1" rowPageCount="2" colPageCount="1"/>
  <pivotFields count="1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5" hier="115" name="[Pool].[Dim Pool ID].[All]" cap="All"/>
    <pageField fld="4" hier="127"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FiveClass" cacheId="19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H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15" name="[Pool].[Dim Pool ID].[All]" cap="All"/>
    <pageField fld="2" hier="127" name="[View Dim EC Pass].[EC Pass No].&amp;[ECPass3]" cap="ECPass3"/>
  </pageFields>
  <dataFields count="4">
    <dataField name="本金余额" fld="0" baseField="0" baseItem="0" numFmtId="178"/>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 cacheId="17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5" firstHeaderRow="0" firstDataRow="1" firstDataCol="1" rowPageCount="2" colPageCount="1"/>
  <pivotFields count="1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5">
    <i>
      <x/>
    </i>
    <i>
      <x v="1"/>
    </i>
    <i>
      <x v="2"/>
    </i>
    <i>
      <x v="3"/>
    </i>
    <i t="grand">
      <x/>
    </i>
  </rowItems>
  <colFields count="1">
    <field x="-2"/>
  </colFields>
  <colItems count="4">
    <i>
      <x/>
    </i>
    <i i="1">
      <x v="1"/>
    </i>
    <i i="2">
      <x v="2"/>
    </i>
    <i i="3">
      <x v="3"/>
    </i>
  </colItems>
  <pageFields count="2">
    <pageField fld="5" hier="115" name="[Pool].[Dim Pool ID].[All]" cap="All"/>
    <pageField fld="4" hier="127"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77">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ontractTerm" cacheId="2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25" firstHeaderRow="0" firstDataRow="1" firstDataCol="1" rowPageCount="2" colPageCount="1"/>
  <pivotFields count="11">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4">
    <i>
      <x/>
    </i>
    <i i="1">
      <x v="1"/>
    </i>
    <i i="2">
      <x v="2"/>
    </i>
    <i i="3">
      <x v="3"/>
    </i>
  </colItems>
  <pageFields count="2">
    <pageField fld="5" hier="115" name="[Pool].[Dim Pool ID].[All]" cap="All"/>
    <pageField fld="4" hier="127" name="[View Dim EC Pass].[EC Pass No].&amp;[ECPass3]" cap="ECPass3"/>
  </pageFields>
  <dataFields count="4">
    <dataField name="本金余额" fld="2" baseField="0" baseItem="0" numFmtId="178"/>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ustomerSector" cacheId="18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U22" firstHeaderRow="0" firstDataRow="1" firstDataCol="1" rowPageCount="2" colPageCount="1"/>
  <pivotFields count="10">
    <pivotField dataField="1" showAll="0"/>
    <pivotField dataField="1" showAll="0"/>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t="grand">
      <x/>
    </i>
  </rowItems>
  <colFields count="1">
    <field x="-2"/>
  </colFields>
  <colItems count="4">
    <i>
      <x/>
    </i>
    <i i="1">
      <x v="1"/>
    </i>
    <i i="2">
      <x v="2"/>
    </i>
    <i i="3">
      <x v="3"/>
    </i>
  </colItems>
  <pageFields count="2">
    <pageField fld="4" hier="115" name="[Pool].[Dim Pool ID].[All]" cap="All"/>
    <pageField fld="3" hier="127" name="[View Dim EC Pass].[EC Pass No].&amp;[ECPass3]" cap="ECPass3"/>
  </pageFields>
  <dataFields count="4">
    <dataField name="本金余额" fld="0" baseField="0" baseItem="0" numFmtId="178"/>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RemainingTerm" cacheId="20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28" firstHeaderRow="0" firstDataRow="1" firstDataCol="1" rowPageCount="2" colPageCount="1"/>
  <pivotFields count="11">
    <pivotField dataField="1" showAll="0"/>
    <pivotField dataField="1" showAll="0"/>
    <pivotField axis="axisRow" allDrilled="1" showAll="0" dataSourceSort="1" defaultAttributeDrillState="1">
      <items count="8">
        <item x="0"/>
        <item x="1"/>
        <item x="2"/>
        <item x="3"/>
        <item x="4"/>
        <item x="5"/>
        <item x="6"/>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4">
    <i>
      <x/>
    </i>
    <i i="1">
      <x v="1"/>
    </i>
    <i i="2">
      <x v="2"/>
    </i>
    <i i="3">
      <x v="3"/>
    </i>
  </colItems>
  <pageFields count="2">
    <pageField fld="5" hier="115" name="[Pool].[Dim Pool ID].[All]" cap="All"/>
    <pageField fld="4" hier="127" name="[View Dim EC Pass].[EC Pass No].&amp;[ECPass3]" cap="ECPass3"/>
  </pageFields>
  <dataFields count="4">
    <dataField name="本金余额" fld="0" baseField="0" baseItem="0" numFmtId="178"/>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ranch" cacheId="21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N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15" name="[Pool].[Dim Pool ID].[All]" cap="All"/>
    <pageField fld="2" hier="127" name="[View Dim EC Pass].[EC Pass No].&amp;[ECPass3]" cap="ECPass3"/>
  </pageFields>
  <dataFields count="4">
    <dataField name="本金余额" fld="0" baseField="0" baseItem="0" numFmtId="178"/>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Guarantee" cacheId="21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AZ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15" name="[Pool].[Dim Pool ID].[All]" cap="All"/>
    <pageField fld="2" hier="127" name="[View Dim EC Pass].[EC Pass No].&amp;[ECPass3]" cap="ECPass3"/>
  </pageFields>
  <dataFields count="4">
    <dataField name="本金余额" fld="0" baseField="0" baseItem="0" numFmtId="178"/>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7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ALR" cacheId="19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9"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6">
        <item x="0"/>
        <item x="1"/>
        <item x="2"/>
        <item x="3"/>
        <item x="4"/>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5">
    <i>
      <x/>
      <x/>
    </i>
    <i r="1">
      <x v="1"/>
    </i>
    <i r="1">
      <x v="2"/>
    </i>
    <i>
      <x v="1"/>
      <x v="3"/>
    </i>
    <i>
      <x v="2"/>
      <x v="4"/>
    </i>
  </rowItems>
  <colFields count="1">
    <field x="-2"/>
  </colFields>
  <colItems count="2">
    <i>
      <x/>
    </i>
    <i i="1">
      <x v="1"/>
    </i>
  </colItems>
  <pageFields count="1">
    <pageField fld="12" hier="127" name="[View Dim EC Pass].[EC Pass No].&amp;[ECPass3]" cap="ECPass3"/>
  </pageFields>
  <dataFields count="2">
    <dataField name="贷款相关" fld="0" baseField="0" baseItem="0"/>
    <dataField name="客户相关" fld="13" baseField="0" baseItem="0"/>
  </dataFields>
  <pivotHierarchies count="17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15"/>
    <rowHierarchyUsage hierarchyUsage="8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ReportsDT" cacheId="20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9"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7">
    <i>
      <x/>
      <x/>
    </i>
    <i r="1">
      <x v="1"/>
    </i>
    <i>
      <x v="1"/>
      <x/>
    </i>
    <i r="1">
      <x v="1"/>
    </i>
    <i>
      <x v="2"/>
      <x/>
    </i>
    <i r="1">
      <x v="1"/>
    </i>
    <i t="grand">
      <x/>
    </i>
  </rowItems>
  <colItems count="1">
    <i/>
  </colItems>
  <dataFields count="1">
    <dataField name="资产池日报表" fld="0" baseField="2" baseItem="0"/>
  </dataFields>
  <pivotHierarchies count="17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15"/>
    <rowHierarchyUsage hierarchyUsage="80"/>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137">
      <levels count="2">
        <level uniqueName="[Pool].[Dim Pool ID].[(All)]" sourceCaption="(All)" count="0"/>
        <level uniqueName="[Pool].[Dim Pool ID].[Dim Pool ID]" sourceCaption="Dim Pool ID" count="3">
          <ranges>
            <range startItem="0">
              <i n="[Pool].[Dim Pool ID].&amp;[237]" c="237"/>
              <i n="[Pool].[Dim Pool ID].&amp;[238]" c="238"/>
              <i n="[Pool].[Dim Pool ID].&amp;[239]" c="239"/>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34" Type="http://schemas.openxmlformats.org/officeDocument/2006/relationships/image" Target="../media/image15.emf"/><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rinterSettings" Target="../printerSettings/printerSettings3.bin"/><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2"/>
  <sheetViews>
    <sheetView showGridLines="0" showRowColHeaders="0" tabSelected="1" topLeftCell="A10" workbookViewId="0">
      <selection activeCell="E12" sqref="E12"/>
    </sheetView>
  </sheetViews>
  <sheetFormatPr defaultColWidth="9.125" defaultRowHeight="12" x14ac:dyDescent="0.15"/>
  <cols>
    <col min="1" max="1" width="37" style="20" customWidth="1"/>
    <col min="2" max="2" width="30.625" style="20" customWidth="1"/>
    <col min="3" max="4" width="29.25" style="20" customWidth="1"/>
    <col min="5" max="5" width="14.875" style="20" customWidth="1"/>
    <col min="6" max="6" width="53.875" style="20" customWidth="1"/>
    <col min="7" max="8" width="19.875" style="20" customWidth="1"/>
    <col min="9" max="9" width="13.375" style="20" customWidth="1"/>
    <col min="10" max="16384" width="9.125" style="20"/>
  </cols>
  <sheetData>
    <row r="1" spans="1:6" ht="60" customHeight="1" x14ac:dyDescent="0.15"/>
    <row r="2" spans="1:6" ht="13.5" x14ac:dyDescent="0.15">
      <c r="A2" s="37" t="s">
        <v>34</v>
      </c>
      <c r="B2" s="18" t="s" vm="2">
        <v>45</v>
      </c>
    </row>
    <row r="3" spans="1:6" ht="13.5" x14ac:dyDescent="0.15">
      <c r="A3" s="37" t="s">
        <v>35</v>
      </c>
      <c r="B3" s="18" t="s" vm="1">
        <v>42</v>
      </c>
    </row>
    <row r="4" spans="1:6" ht="37.5" customHeight="1" x14ac:dyDescent="0.15">
      <c r="F4" s="13"/>
    </row>
    <row r="5" spans="1:6" ht="39.950000000000003" customHeight="1" x14ac:dyDescent="0.15">
      <c r="A5" s="39" t="s">
        <v>2</v>
      </c>
      <c r="B5" s="39" t="s">
        <v>6</v>
      </c>
      <c r="C5" s="38"/>
      <c r="D5" s="38"/>
      <c r="E5" s="38"/>
    </row>
    <row r="6" spans="1:6" ht="39.950000000000003" customHeight="1" x14ac:dyDescent="0.15">
      <c r="A6" s="16" t="s">
        <v>7</v>
      </c>
      <c r="B6" s="16" t="s">
        <v>0</v>
      </c>
      <c r="D6" s="20" t="s">
        <v>103</v>
      </c>
      <c r="E6" s="40" t="s">
        <v>5</v>
      </c>
    </row>
    <row r="7" spans="1:6" ht="39.950000000000003" customHeight="1" x14ac:dyDescent="0.15">
      <c r="A7" s="39" t="s">
        <v>15</v>
      </c>
      <c r="B7" s="39" t="s">
        <v>15</v>
      </c>
      <c r="C7" s="39" t="s">
        <v>15</v>
      </c>
      <c r="D7" s="39" t="s">
        <v>15</v>
      </c>
      <c r="E7" s="39" t="s">
        <v>15</v>
      </c>
    </row>
    <row r="8" spans="1:6" ht="39.950000000000003" customHeight="1" x14ac:dyDescent="0.15">
      <c r="A8" s="17" t="s">
        <v>8</v>
      </c>
      <c r="B8" s="16" t="s">
        <v>10</v>
      </c>
      <c r="E8" s="40" t="s">
        <v>5</v>
      </c>
    </row>
    <row r="9" spans="1:6" ht="39.950000000000003" customHeight="1" x14ac:dyDescent="0.15">
      <c r="A9" s="17" t="s">
        <v>11</v>
      </c>
      <c r="B9" s="16" t="s">
        <v>12</v>
      </c>
      <c r="E9" s="40" t="s">
        <v>5</v>
      </c>
    </row>
    <row r="10" spans="1:6" ht="39.950000000000003" customHeight="1" x14ac:dyDescent="0.15">
      <c r="A10" s="17" t="s">
        <v>13</v>
      </c>
      <c r="B10" s="16" t="s">
        <v>14</v>
      </c>
      <c r="E10" s="40" t="s">
        <v>5</v>
      </c>
    </row>
    <row r="11" spans="1:6" ht="39.950000000000003" customHeight="1" x14ac:dyDescent="0.15">
      <c r="A11" s="39" t="s">
        <v>16</v>
      </c>
      <c r="B11" s="39"/>
      <c r="C11" s="39"/>
      <c r="D11" s="39"/>
      <c r="E11" s="39"/>
    </row>
    <row r="12" spans="1:6" ht="39.950000000000003" customHeight="1" x14ac:dyDescent="0.15">
      <c r="A12" s="17" t="s">
        <v>20</v>
      </c>
      <c r="B12" s="16" t="s">
        <v>18</v>
      </c>
      <c r="D12" s="20" t="s">
        <v>112</v>
      </c>
      <c r="E12" s="40" t="s">
        <v>5</v>
      </c>
    </row>
    <row r="13" spans="1:6" ht="39.950000000000003" customHeight="1" x14ac:dyDescent="0.15">
      <c r="A13" s="17" t="s">
        <v>19</v>
      </c>
      <c r="B13" s="16" t="s">
        <v>21</v>
      </c>
      <c r="E13" s="40" t="s">
        <v>5</v>
      </c>
    </row>
    <row r="14" spans="1:6" ht="39.950000000000003" customHeight="1" x14ac:dyDescent="0.15">
      <c r="A14" s="39" t="s">
        <v>23</v>
      </c>
      <c r="B14" s="39"/>
      <c r="C14" s="39"/>
      <c r="D14" s="39"/>
      <c r="E14" s="39"/>
    </row>
    <row r="15" spans="1:6" ht="39.950000000000003" customHeight="1" x14ac:dyDescent="0.15">
      <c r="A15" s="15" t="s">
        <v>24</v>
      </c>
      <c r="B15" s="16" t="s">
        <v>25</v>
      </c>
      <c r="E15" s="40" t="s">
        <v>5</v>
      </c>
    </row>
    <row r="16" spans="1:6" ht="39.950000000000003" customHeight="1" x14ac:dyDescent="0.15">
      <c r="A16" s="15" t="s">
        <v>26</v>
      </c>
      <c r="B16" s="16" t="s">
        <v>27</v>
      </c>
      <c r="E16" s="40" t="s">
        <v>5</v>
      </c>
    </row>
    <row r="17" spans="1:5" ht="39.950000000000003" customHeight="1" x14ac:dyDescent="0.15">
      <c r="A17" s="15" t="s">
        <v>28</v>
      </c>
      <c r="B17" s="16" t="s">
        <v>29</v>
      </c>
      <c r="E17" s="40" t="s">
        <v>5</v>
      </c>
    </row>
    <row r="18" spans="1:5" ht="39.950000000000003" customHeight="1" x14ac:dyDescent="0.15">
      <c r="A18" s="15" t="s">
        <v>30</v>
      </c>
      <c r="B18" s="16" t="s">
        <v>31</v>
      </c>
      <c r="E18" s="40" t="s">
        <v>5</v>
      </c>
    </row>
    <row r="19" spans="1:5" ht="39.950000000000003" customHeight="1" x14ac:dyDescent="0.15">
      <c r="A19" s="15" t="s">
        <v>43</v>
      </c>
      <c r="B19" s="16" t="s">
        <v>44</v>
      </c>
      <c r="E19" s="40" t="s">
        <v>5</v>
      </c>
    </row>
    <row r="20" spans="1:5" ht="39.950000000000003" customHeight="1" x14ac:dyDescent="0.15">
      <c r="A20" s="39" t="s">
        <v>4</v>
      </c>
      <c r="B20" s="39"/>
      <c r="C20" s="39"/>
      <c r="D20" s="39"/>
      <c r="E20" s="39"/>
    </row>
    <row r="21" spans="1:5" ht="39.950000000000003" customHeight="1" x14ac:dyDescent="0.15">
      <c r="A21" s="16" t="s">
        <v>36</v>
      </c>
      <c r="B21" s="16" t="s">
        <v>37</v>
      </c>
      <c r="E21" s="36" t="s">
        <v>5</v>
      </c>
    </row>
    <row r="22" spans="1:5" ht="39.950000000000003" customHeight="1" x14ac:dyDescent="0.15">
      <c r="A22" s="16" t="s">
        <v>3</v>
      </c>
      <c r="B22" s="16" t="s">
        <v>1</v>
      </c>
      <c r="E22" s="36" t="s">
        <v>5</v>
      </c>
    </row>
  </sheetData>
  <phoneticPr fontId="14" type="noConversion"/>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2" location="Reports!A1" display="Check"/>
    <hyperlink ref="E6" location="PoolStatistics!A1" display="查看"/>
    <hyperlink ref="E21" location="Reports!A1" display="Check"/>
    <hyperlink ref="E19" location="Distributions!BC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6" r:id="rId5" name="btnRefreshAll">
          <controlPr autoLine="0" r:id="rId6">
            <anchor moveWithCells="1">
              <from>
                <xdr:col>2</xdr:col>
                <xdr:colOff>66675</xdr:colOff>
                <xdr:row>4</xdr:row>
                <xdr:rowOff>66675</xdr:rowOff>
              </from>
              <to>
                <xdr:col>4</xdr:col>
                <xdr:colOff>419100</xdr:colOff>
                <xdr:row>4</xdr:row>
                <xdr:rowOff>447675</xdr:rowOff>
              </to>
            </anchor>
          </controlPr>
        </control>
      </mc:Choice>
      <mc:Fallback>
        <control shapeId="1056" r:id="rId5" name="btnRefreshAll"/>
      </mc:Fallback>
    </mc:AlternateContent>
    <mc:AlternateContent xmlns:mc="http://schemas.openxmlformats.org/markup-compatibility/2006">
      <mc:Choice Requires="x14">
        <control shapeId="1055" r:id="rId7" name="btnptReportsDT">
          <controlPr autoLine="0" r:id="rId8">
            <anchor moveWithCells="1">
              <from>
                <xdr:col>2</xdr:col>
                <xdr:colOff>95250</xdr:colOff>
                <xdr:row>21</xdr:row>
                <xdr:rowOff>104775</xdr:rowOff>
              </from>
              <to>
                <xdr:col>2</xdr:col>
                <xdr:colOff>1819275</xdr:colOff>
                <xdr:row>21</xdr:row>
                <xdr:rowOff>419100</xdr:rowOff>
              </to>
            </anchor>
          </controlPr>
        </control>
      </mc:Choice>
      <mc:Fallback>
        <control shapeId="1055" r:id="rId7" name="btnptReportsDT"/>
      </mc:Fallback>
    </mc:AlternateContent>
    <mc:AlternateContent xmlns:mc="http://schemas.openxmlformats.org/markup-compatibility/2006">
      <mc:Choice Requires="x14">
        <control shapeId="1038" r:id="rId9" name="btnptDistGuarantee">
          <controlPr autoLine="0" r:id="rId10">
            <anchor moveWithCells="1">
              <from>
                <xdr:col>2</xdr:col>
                <xdr:colOff>95250</xdr:colOff>
                <xdr:row>17</xdr:row>
                <xdr:rowOff>104775</xdr:rowOff>
              </from>
              <to>
                <xdr:col>2</xdr:col>
                <xdr:colOff>1819275</xdr:colOff>
                <xdr:row>17</xdr:row>
                <xdr:rowOff>419100</xdr:rowOff>
              </to>
            </anchor>
          </controlPr>
        </control>
      </mc:Choice>
      <mc:Fallback>
        <control shapeId="1038" r:id="rId9" name="btnptDistGuarantee"/>
      </mc:Fallback>
    </mc:AlternateContent>
    <mc:AlternateContent xmlns:mc="http://schemas.openxmlformats.org/markup-compatibility/2006">
      <mc:Choice Requires="x14">
        <control shapeId="1037" r:id="rId11" name="btnptDistCustomerSector">
          <controlPr autoLine="0" r:id="rId12">
            <anchor moveWithCells="1">
              <from>
                <xdr:col>2</xdr:col>
                <xdr:colOff>95250</xdr:colOff>
                <xdr:row>16</xdr:row>
                <xdr:rowOff>104775</xdr:rowOff>
              </from>
              <to>
                <xdr:col>2</xdr:col>
                <xdr:colOff>1819275</xdr:colOff>
                <xdr:row>16</xdr:row>
                <xdr:rowOff>419100</xdr:rowOff>
              </to>
            </anchor>
          </controlPr>
        </control>
      </mc:Choice>
      <mc:Fallback>
        <control shapeId="1037" r:id="rId11" name="btnptDistCustomerSector"/>
      </mc:Fallback>
    </mc:AlternateContent>
    <mc:AlternateContent xmlns:mc="http://schemas.openxmlformats.org/markup-compatibility/2006">
      <mc:Choice Requires="x14">
        <control shapeId="1036" r:id="rId13" name="btnptDistBranch">
          <controlPr autoLine="0" r:id="rId14">
            <anchor moveWithCells="1">
              <from>
                <xdr:col>2</xdr:col>
                <xdr:colOff>95250</xdr:colOff>
                <xdr:row>15</xdr:row>
                <xdr:rowOff>104775</xdr:rowOff>
              </from>
              <to>
                <xdr:col>2</xdr:col>
                <xdr:colOff>1819275</xdr:colOff>
                <xdr:row>15</xdr:row>
                <xdr:rowOff>419100</xdr:rowOff>
              </to>
            </anchor>
          </controlPr>
        </control>
      </mc:Choice>
      <mc:Fallback>
        <control shapeId="1036" r:id="rId13" name="btnptDistBranch"/>
      </mc:Fallback>
    </mc:AlternateContent>
    <mc:AlternateContent xmlns:mc="http://schemas.openxmlformats.org/markup-compatibility/2006">
      <mc:Choice Requires="x14">
        <control shapeId="1035" r:id="rId15" name="btnptDistFiveClass">
          <controlPr autoLine="0" r:id="rId16">
            <anchor moveWithCells="1">
              <from>
                <xdr:col>2</xdr:col>
                <xdr:colOff>95250</xdr:colOff>
                <xdr:row>14</xdr:row>
                <xdr:rowOff>104775</xdr:rowOff>
              </from>
              <to>
                <xdr:col>2</xdr:col>
                <xdr:colOff>1819275</xdr:colOff>
                <xdr:row>14</xdr:row>
                <xdr:rowOff>419100</xdr:rowOff>
              </to>
            </anchor>
          </controlPr>
        </control>
      </mc:Choice>
      <mc:Fallback>
        <control shapeId="1035" r:id="rId15" name="btnptDistFiveClass"/>
      </mc:Fallback>
    </mc:AlternateContent>
    <mc:AlternateContent xmlns:mc="http://schemas.openxmlformats.org/markup-compatibility/2006">
      <mc:Choice Requires="x14">
        <control shapeId="1033" r:id="rId17" name="btnptDistBalance">
          <controlPr autoLine="0" r:id="rId18">
            <anchor moveWithCells="1">
              <from>
                <xdr:col>2</xdr:col>
                <xdr:colOff>95250</xdr:colOff>
                <xdr:row>12</xdr:row>
                <xdr:rowOff>104775</xdr:rowOff>
              </from>
              <to>
                <xdr:col>2</xdr:col>
                <xdr:colOff>1819275</xdr:colOff>
                <xdr:row>12</xdr:row>
                <xdr:rowOff>419100</xdr:rowOff>
              </to>
            </anchor>
          </controlPr>
        </control>
      </mc:Choice>
      <mc:Fallback>
        <control shapeId="1033" r:id="rId17" name="btnptDistBalance"/>
      </mc:Fallback>
    </mc:AlternateContent>
    <mc:AlternateContent xmlns:mc="http://schemas.openxmlformats.org/markup-compatibility/2006">
      <mc:Choice Requires="x14">
        <control shapeId="1032" r:id="rId19" name="btnptDistInterest">
          <controlPr autoLine="0" r:id="rId20">
            <anchor moveWithCells="1">
              <from>
                <xdr:col>2</xdr:col>
                <xdr:colOff>95250</xdr:colOff>
                <xdr:row>11</xdr:row>
                <xdr:rowOff>104775</xdr:rowOff>
              </from>
              <to>
                <xdr:col>2</xdr:col>
                <xdr:colOff>1819275</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1" r:id="rId21" name="btnptDistRemainingTerm">
          <controlPr autoLine="0" r:id="rId22">
            <anchor moveWithCells="1">
              <from>
                <xdr:col>2</xdr:col>
                <xdr:colOff>95250</xdr:colOff>
                <xdr:row>9</xdr:row>
                <xdr:rowOff>104775</xdr:rowOff>
              </from>
              <to>
                <xdr:col>2</xdr:col>
                <xdr:colOff>1819275</xdr:colOff>
                <xdr:row>9</xdr:row>
                <xdr:rowOff>419100</xdr:rowOff>
              </to>
            </anchor>
          </controlPr>
        </control>
      </mc:Choice>
      <mc:Fallback>
        <control shapeId="1031" r:id="rId21" name="btnptDistRemainingTerm"/>
      </mc:Fallback>
    </mc:AlternateContent>
    <mc:AlternateContent xmlns:mc="http://schemas.openxmlformats.org/markup-compatibility/2006">
      <mc:Choice Requires="x14">
        <control shapeId="1030" r:id="rId23" name="btnptDistSeasoning">
          <controlPr autoLine="0" r:id="rId24">
            <anchor moveWithCells="1">
              <from>
                <xdr:col>2</xdr:col>
                <xdr:colOff>95250</xdr:colOff>
                <xdr:row>8</xdr:row>
                <xdr:rowOff>104775</xdr:rowOff>
              </from>
              <to>
                <xdr:col>2</xdr:col>
                <xdr:colOff>1819275</xdr:colOff>
                <xdr:row>8</xdr:row>
                <xdr:rowOff>419100</xdr:rowOff>
              </to>
            </anchor>
          </controlPr>
        </control>
      </mc:Choice>
      <mc:Fallback>
        <control shapeId="1030" r:id="rId23" name="btnptDistSeasoning"/>
      </mc:Fallback>
    </mc:AlternateContent>
    <mc:AlternateContent xmlns:mc="http://schemas.openxmlformats.org/markup-compatibility/2006">
      <mc:Choice Requires="x14">
        <control shapeId="1029" r:id="rId25" name="btnptDistContractTerm">
          <controlPr autoLine="0" r:id="rId26">
            <anchor moveWithCells="1">
              <from>
                <xdr:col>2</xdr:col>
                <xdr:colOff>95250</xdr:colOff>
                <xdr:row>7</xdr:row>
                <xdr:rowOff>104775</xdr:rowOff>
              </from>
              <to>
                <xdr:col>2</xdr:col>
                <xdr:colOff>1819275</xdr:colOff>
                <xdr:row>7</xdr:row>
                <xdr:rowOff>419100</xdr:rowOff>
              </to>
            </anchor>
          </controlPr>
        </control>
      </mc:Choice>
      <mc:Fallback>
        <control shapeId="1029" r:id="rId25" name="btnptDistContractTerm"/>
      </mc:Fallback>
    </mc:AlternateContent>
    <mc:AlternateContent xmlns:mc="http://schemas.openxmlformats.org/markup-compatibility/2006">
      <mc:Choice Requires="x14">
        <control shapeId="1028" r:id="rId27" name="btnptSummary">
          <controlPr autoLine="0" r:id="rId28">
            <anchor moveWithCells="1">
              <from>
                <xdr:col>2</xdr:col>
                <xdr:colOff>95250</xdr:colOff>
                <xdr:row>5</xdr:row>
                <xdr:rowOff>104775</xdr:rowOff>
              </from>
              <to>
                <xdr:col>2</xdr:col>
                <xdr:colOff>1819275</xdr:colOff>
                <xdr:row>5</xdr:row>
                <xdr:rowOff>419100</xdr:rowOff>
              </to>
            </anchor>
          </controlPr>
        </control>
      </mc:Choice>
      <mc:Fallback>
        <control shapeId="1028" r:id="rId27" name="btnptSummary"/>
      </mc:Fallback>
    </mc:AlternateContent>
    <mc:AlternateContent xmlns:mc="http://schemas.openxmlformats.org/markup-compatibility/2006">
      <mc:Choice Requires="x14">
        <control shapeId="1025" r:id="rId29" name="btnFilter">
          <controlPr autoLine="0" r:id="rId30">
            <anchor moveWithCells="1">
              <from>
                <xdr:col>0</xdr:col>
                <xdr:colOff>28575</xdr:colOff>
                <xdr:row>0</xdr:row>
                <xdr:rowOff>19050</xdr:rowOff>
              </from>
              <to>
                <xdr:col>1</xdr:col>
                <xdr:colOff>1666875</xdr:colOff>
                <xdr:row>0</xdr:row>
                <xdr:rowOff>733425</xdr:rowOff>
              </to>
            </anchor>
          </controlPr>
        </control>
      </mc:Choice>
      <mc:Fallback>
        <control shapeId="1025" r:id="rId29" name="btnFilter"/>
      </mc:Fallback>
    </mc:AlternateContent>
    <mc:AlternateContent xmlns:mc="http://schemas.openxmlformats.org/markup-compatibility/2006">
      <mc:Choice Requires="x14">
        <control shapeId="1057" r:id="rId31" name="btnptReportsALR">
          <controlPr autoLine="0" r:id="rId32">
            <anchor moveWithCells="1">
              <from>
                <xdr:col>2</xdr:col>
                <xdr:colOff>95250</xdr:colOff>
                <xdr:row>20</xdr:row>
                <xdr:rowOff>114300</xdr:rowOff>
              </from>
              <to>
                <xdr:col>2</xdr:col>
                <xdr:colOff>1819275</xdr:colOff>
                <xdr:row>20</xdr:row>
                <xdr:rowOff>428625</xdr:rowOff>
              </to>
            </anchor>
          </controlPr>
        </control>
      </mc:Choice>
      <mc:Fallback>
        <control shapeId="1057" r:id="rId31" name="btnptReportsALR"/>
      </mc:Fallback>
    </mc:AlternateContent>
    <mc:AlternateContent xmlns:mc="http://schemas.openxmlformats.org/markup-compatibility/2006">
      <mc:Choice Requires="x14">
        <control shapeId="1058" r:id="rId33" name="btnptDistProductType">
          <controlPr autoLine="0" r:id="rId34">
            <anchor moveWithCells="1">
              <from>
                <xdr:col>2</xdr:col>
                <xdr:colOff>95250</xdr:colOff>
                <xdr:row>18</xdr:row>
                <xdr:rowOff>104775</xdr:rowOff>
              </from>
              <to>
                <xdr:col>2</xdr:col>
                <xdr:colOff>1819275</xdr:colOff>
                <xdr:row>18</xdr:row>
                <xdr:rowOff>419100</xdr:rowOff>
              </to>
            </anchor>
          </controlPr>
        </control>
      </mc:Choice>
      <mc:Fallback>
        <control shapeId="1058" r:id="rId33" name="btnptDistProductTyp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election activeCell="D10" sqref="D10"/>
    </sheetView>
  </sheetViews>
  <sheetFormatPr defaultColWidth="9.125" defaultRowHeight="12" x14ac:dyDescent="0.15"/>
  <cols>
    <col min="1" max="1" width="39.375" style="20" customWidth="1"/>
    <col min="2" max="2" width="17.25" style="20" customWidth="1"/>
    <col min="3" max="3" width="24.25" style="20" customWidth="1"/>
    <col min="4" max="4" width="23.875" style="20" customWidth="1"/>
    <col min="5" max="5" width="22.75" style="20" customWidth="1"/>
    <col min="6" max="11" width="9.125" style="20"/>
    <col min="12" max="12" width="19.75" style="20" customWidth="1"/>
    <col min="13" max="13" width="26.875" style="20" customWidth="1"/>
    <col min="14" max="16384" width="9.125" style="20"/>
  </cols>
  <sheetData>
    <row r="1" spans="1:3" ht="13.5" x14ac:dyDescent="0.15">
      <c r="A1" s="37" t="s">
        <v>34</v>
      </c>
      <c r="B1" s="18" t="s" vm="2">
        <v>45</v>
      </c>
      <c r="C1"/>
    </row>
    <row r="2" spans="1:3" ht="13.5" x14ac:dyDescent="0.15">
      <c r="A2" s="37" t="s">
        <v>35</v>
      </c>
      <c r="B2" s="18" t="s" vm="1">
        <v>42</v>
      </c>
      <c r="C2"/>
    </row>
    <row r="3" spans="1:3" ht="13.5" x14ac:dyDescent="0.15">
      <c r="A3"/>
      <c r="B3"/>
      <c r="C3"/>
    </row>
    <row r="4" spans="1:3" ht="13.5" x14ac:dyDescent="0.15">
      <c r="A4" s="37" t="s">
        <v>7</v>
      </c>
      <c r="B4"/>
      <c r="C4"/>
    </row>
    <row r="5" spans="1:3" ht="13.5" x14ac:dyDescent="0.15">
      <c r="A5" s="42" t="s">
        <v>46</v>
      </c>
      <c r="B5" s="43">
        <v>165915713.10000101</v>
      </c>
      <c r="C5"/>
    </row>
    <row r="6" spans="1:3" ht="13.5" x14ac:dyDescent="0.15">
      <c r="A6" s="42" t="s">
        <v>47</v>
      </c>
      <c r="B6" s="43">
        <v>297951982</v>
      </c>
      <c r="C6"/>
    </row>
    <row r="7" spans="1:3" ht="13.5" x14ac:dyDescent="0.15">
      <c r="A7" s="42" t="s">
        <v>48</v>
      </c>
      <c r="B7" s="44">
        <v>158133</v>
      </c>
      <c r="C7"/>
    </row>
    <row r="8" spans="1:3" ht="13.5" x14ac:dyDescent="0.15">
      <c r="A8" s="42" t="s">
        <v>49</v>
      </c>
      <c r="B8" s="43">
        <v>1049.2162489802952</v>
      </c>
      <c r="C8"/>
    </row>
    <row r="9" spans="1:3" ht="13.5" x14ac:dyDescent="0.15">
      <c r="A9" s="42" t="s">
        <v>50</v>
      </c>
      <c r="B9" s="43">
        <v>1884.1859826854609</v>
      </c>
      <c r="C9"/>
    </row>
    <row r="10" spans="1:3" ht="13.5" x14ac:dyDescent="0.15">
      <c r="A10" s="42" t="s">
        <v>51</v>
      </c>
      <c r="B10" s="45">
        <v>3.8512236506188968E-3</v>
      </c>
      <c r="C10"/>
    </row>
    <row r="11" spans="1:3" ht="13.5" x14ac:dyDescent="0.15">
      <c r="A11" s="42" t="s">
        <v>52</v>
      </c>
      <c r="B11" s="46">
        <v>4.6214570137178521</v>
      </c>
      <c r="C11"/>
    </row>
    <row r="12" spans="1:3" ht="13.5" x14ac:dyDescent="0.15">
      <c r="A12" s="42" t="s">
        <v>53</v>
      </c>
      <c r="B12" s="47">
        <v>13.456680217215574</v>
      </c>
      <c r="C12"/>
    </row>
    <row r="13" spans="1:3" ht="13.5" x14ac:dyDescent="0.15">
      <c r="A13" s="42" t="s">
        <v>54</v>
      </c>
      <c r="B13" s="48">
        <v>8.8984460140719079</v>
      </c>
      <c r="C13"/>
    </row>
    <row r="14" spans="1:3" ht="13.5" x14ac:dyDescent="0.15">
      <c r="A14" s="42" t="s">
        <v>55</v>
      </c>
      <c r="B14" s="48">
        <v>4.5582347377223762</v>
      </c>
      <c r="C14"/>
    </row>
    <row r="15" spans="1:3" ht="13.5" x14ac:dyDescent="0.15">
      <c r="A15" s="42" t="s">
        <v>104</v>
      </c>
      <c r="B15" s="46">
        <v>12000</v>
      </c>
      <c r="C15"/>
    </row>
    <row r="16" spans="1:3" ht="13.5" x14ac:dyDescent="0.15">
      <c r="A16" s="42" t="s">
        <v>105</v>
      </c>
      <c r="B16" s="46">
        <v>9464.15</v>
      </c>
      <c r="C16"/>
    </row>
    <row r="17" spans="1:3" ht="13.5" x14ac:dyDescent="0.15">
      <c r="A17" s="42" t="s">
        <v>106</v>
      </c>
      <c r="B17" s="46">
        <v>8.0000000000000002E-3</v>
      </c>
      <c r="C17"/>
    </row>
    <row r="18" spans="1:3" ht="13.5" x14ac:dyDescent="0.15">
      <c r="A18" s="42" t="s">
        <v>108</v>
      </c>
      <c r="B18" s="46">
        <v>18.168399999999998</v>
      </c>
      <c r="C18"/>
    </row>
    <row r="19" spans="1:3" ht="13.5" x14ac:dyDescent="0.15">
      <c r="A19" s="42" t="s">
        <v>107</v>
      </c>
      <c r="B19" s="46">
        <v>1.7741</v>
      </c>
      <c r="C19"/>
    </row>
    <row r="20" spans="1:3" ht="13.5" x14ac:dyDescent="0.15">
      <c r="A20" s="42" t="s">
        <v>109</v>
      </c>
      <c r="B20" s="45">
        <v>0.28196143028174253</v>
      </c>
      <c r="C20"/>
    </row>
    <row r="21" spans="1:3" ht="13.5" x14ac:dyDescent="0.15">
      <c r="A21" s="42" t="s">
        <v>110</v>
      </c>
      <c r="B21" s="46">
        <v>1</v>
      </c>
      <c r="C21"/>
    </row>
    <row r="22" spans="1:3" ht="13.5" x14ac:dyDescent="0.15">
      <c r="A22" s="42" t="s">
        <v>111</v>
      </c>
      <c r="B22" s="49">
        <v>0.61347116999543905</v>
      </c>
      <c r="C22"/>
    </row>
    <row r="23" spans="1:3" ht="13.5" x14ac:dyDescent="0.15">
      <c r="A23"/>
      <c r="B23"/>
      <c r="C23"/>
    </row>
    <row r="24" spans="1:3" ht="13.5" x14ac:dyDescent="0.15">
      <c r="A24"/>
      <c r="B24"/>
      <c r="C24"/>
    </row>
    <row r="25" spans="1:3" ht="13.5" x14ac:dyDescent="0.15">
      <c r="A25"/>
      <c r="B25"/>
      <c r="C25"/>
    </row>
    <row r="26" spans="1:3" ht="13.5" x14ac:dyDescent="0.15">
      <c r="A26"/>
      <c r="B26"/>
      <c r="C26"/>
    </row>
    <row r="27" spans="1:3" ht="13.5" x14ac:dyDescent="0.15">
      <c r="A27"/>
      <c r="B27"/>
      <c r="C27"/>
    </row>
    <row r="28" spans="1:3" ht="13.5" x14ac:dyDescent="0.15">
      <c r="A28"/>
      <c r="B28"/>
      <c r="C28"/>
    </row>
    <row r="29" spans="1:3" ht="13.5" x14ac:dyDescent="0.15">
      <c r="A29"/>
      <c r="B29"/>
      <c r="C29"/>
    </row>
    <row r="30" spans="1:3" ht="13.5" x14ac:dyDescent="0.15">
      <c r="A30"/>
      <c r="B30"/>
      <c r="C30"/>
    </row>
    <row r="31" spans="1:3" ht="13.5" x14ac:dyDescent="0.15">
      <c r="A31"/>
      <c r="B31"/>
      <c r="C31"/>
    </row>
    <row r="32" spans="1:3" ht="13.5" x14ac:dyDescent="0.15">
      <c r="A32"/>
      <c r="B32"/>
      <c r="C32"/>
    </row>
    <row r="33" spans="1:5" ht="13.5" x14ac:dyDescent="0.15">
      <c r="A33"/>
      <c r="B33"/>
      <c r="C33"/>
    </row>
    <row r="34" spans="1:5" ht="13.5" x14ac:dyDescent="0.15">
      <c r="A34"/>
      <c r="B34"/>
      <c r="C34"/>
    </row>
    <row r="35" spans="1:5" ht="13.5" x14ac:dyDescent="0.15">
      <c r="A35"/>
      <c r="B35"/>
      <c r="C35"/>
    </row>
    <row r="38" spans="1:5" x14ac:dyDescent="0.15">
      <c r="A38" s="31"/>
      <c r="B38" s="25"/>
      <c r="C38" s="24"/>
      <c r="D38" s="24"/>
      <c r="E38" s="24"/>
    </row>
    <row r="39" spans="1:5" x14ac:dyDescent="0.15">
      <c r="A39" s="21"/>
      <c r="D39" s="41"/>
    </row>
    <row r="40" spans="1:5" x14ac:dyDescent="0.15">
      <c r="A40" s="21"/>
      <c r="D40" s="41"/>
    </row>
    <row r="41" spans="1:5" x14ac:dyDescent="0.15">
      <c r="A41" s="21"/>
      <c r="D41" s="41"/>
    </row>
    <row r="44" spans="1:5" x14ac:dyDescent="0.15">
      <c r="B44" s="25"/>
      <c r="C44" s="25"/>
    </row>
    <row r="45" spans="1:5" x14ac:dyDescent="0.15">
      <c r="B45" s="25"/>
      <c r="C45" s="23"/>
    </row>
    <row r="46" spans="1:5" x14ac:dyDescent="0.15">
      <c r="B46" s="25"/>
      <c r="C46" s="23"/>
    </row>
    <row r="47" spans="1:5" x14ac:dyDescent="0.15">
      <c r="B47" s="25"/>
      <c r="C47" s="33"/>
    </row>
    <row r="48" spans="1:5" x14ac:dyDescent="0.15">
      <c r="B48" s="25"/>
      <c r="C48" s="33"/>
    </row>
  </sheetData>
  <mergeCells count="1">
    <mergeCell ref="D39:D41"/>
  </mergeCells>
  <phoneticPr fontId="14"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topLeftCell="S1" zoomScale="80" zoomScaleNormal="80" workbookViewId="0">
      <selection activeCell="S20" sqref="S20"/>
    </sheetView>
  </sheetViews>
  <sheetFormatPr defaultRowHeight="13.5" x14ac:dyDescent="0.15"/>
  <cols>
    <col min="1" max="1" width="17" customWidth="1"/>
    <col min="2" max="2" width="19.5" customWidth="1"/>
    <col min="3" max="3" width="14.625" customWidth="1"/>
    <col min="4" max="4" width="14.625" style="19" customWidth="1"/>
    <col min="5" max="5" width="14.625" customWidth="1"/>
    <col min="6" max="6" width="9.75" customWidth="1"/>
    <col min="7" max="7" width="17" customWidth="1"/>
    <col min="8" max="8" width="19.5" customWidth="1"/>
    <col min="9" max="9" width="14.625" customWidth="1"/>
    <col min="10" max="11" width="14.625" style="19" customWidth="1"/>
    <col min="13" max="13" width="21.75" customWidth="1"/>
    <col min="14" max="14" width="19.5" customWidth="1"/>
    <col min="15" max="17" width="14.625" customWidth="1"/>
    <col min="18" max="18" width="12.125" style="19" customWidth="1"/>
    <col min="19" max="19" width="27.5" customWidth="1"/>
    <col min="20" max="20" width="19.5" customWidth="1"/>
    <col min="21" max="23" width="14.625" customWidth="1"/>
    <col min="24" max="24" width="10.75" customWidth="1"/>
    <col min="25" max="25" width="18" style="19" customWidth="1"/>
    <col min="26" max="26" width="19.5" customWidth="1"/>
    <col min="27" max="29" width="14.625" customWidth="1"/>
    <col min="30" max="30" width="15.875" bestFit="1" customWidth="1"/>
    <col min="31" max="31" width="17.25" customWidth="1"/>
    <col min="32" max="32" width="14.625" style="19" customWidth="1"/>
    <col min="33" max="34" width="14.625" customWidth="1"/>
    <col min="35" max="35" width="14.25" customWidth="1"/>
    <col min="36" max="36" width="13.375" customWidth="1"/>
    <col min="37" max="37" width="17.25" customWidth="1"/>
    <col min="38" max="38" width="14.625" customWidth="1"/>
    <col min="39" max="39" width="14.625" style="19" customWidth="1"/>
    <col min="40" max="40" width="14.625" customWidth="1"/>
    <col min="41" max="41" width="14.25" customWidth="1"/>
    <col min="43" max="43" width="17" customWidth="1"/>
    <col min="44" max="44" width="19.5" customWidth="1"/>
    <col min="45" max="45" width="14.625" customWidth="1"/>
    <col min="46" max="46" width="14.625" style="19" customWidth="1"/>
    <col min="47" max="47" width="14.625" customWidth="1"/>
    <col min="48" max="48" width="9.75" customWidth="1"/>
    <col min="49" max="49" width="17.25" customWidth="1"/>
    <col min="50" max="52" width="14.625" customWidth="1"/>
    <col min="53" max="53" width="14.25" style="19" customWidth="1"/>
    <col min="54" max="54" width="37.125" customWidth="1"/>
    <col min="55" max="55" width="17" customWidth="1"/>
    <col min="56" max="56" width="14.5" customWidth="1"/>
    <col min="57" max="57" width="14.625" customWidth="1"/>
    <col min="58" max="58" width="10" customWidth="1"/>
    <col min="59" max="59" width="14.625" customWidth="1"/>
    <col min="60" max="60" width="31.875" style="19" customWidth="1"/>
    <col min="61" max="61" width="32.25" customWidth="1"/>
    <col min="62" max="62" width="30.25" customWidth="1"/>
    <col min="64" max="64" width="46.375" customWidth="1"/>
    <col min="65" max="65" width="29.375" customWidth="1"/>
    <col min="66" max="66" width="26.125" customWidth="1"/>
    <col min="67" max="67" width="33.875" style="19" customWidth="1"/>
    <col min="68" max="68" width="50" customWidth="1"/>
    <col min="69" max="69" width="42.875" customWidth="1"/>
    <col min="71" max="71" width="40.375" customWidth="1"/>
    <col min="72" max="72" width="23.875" customWidth="1"/>
    <col min="73" max="73" width="27.75" customWidth="1"/>
    <col min="74" max="74" width="31.125" style="19" customWidth="1"/>
    <col min="75" max="75" width="33.375" customWidth="1"/>
    <col min="76" max="76" width="32.25" customWidth="1"/>
    <col min="78" max="78" width="32.875" customWidth="1"/>
    <col min="79" max="79" width="20.75" customWidth="1"/>
    <col min="80" max="80" width="39.625" customWidth="1"/>
    <col min="81" max="81" width="39.875" style="19" customWidth="1"/>
    <col min="82" max="82" width="41.125" customWidth="1"/>
    <col min="83" max="83" width="42.375" customWidth="1"/>
    <col min="84" max="84" width="16.25" bestFit="1" customWidth="1"/>
    <col min="85" max="85" width="17.625" customWidth="1"/>
    <col min="86" max="86" width="14" customWidth="1"/>
    <col min="87" max="87" width="14" bestFit="1" customWidth="1"/>
    <col min="88" max="88" width="14" style="19" bestFit="1" customWidth="1"/>
    <col min="89" max="89" width="39.375" customWidth="1"/>
    <col min="90" max="90" width="41.75" customWidth="1"/>
    <col min="92" max="92" width="54.75" customWidth="1"/>
    <col min="93" max="93" width="40.375" customWidth="1"/>
    <col min="94" max="94" width="26.125" customWidth="1"/>
    <col min="95" max="95" width="36.25" style="19" customWidth="1"/>
    <col min="96" max="96" width="36.125" customWidth="1"/>
    <col min="97" max="97" width="40.25" customWidth="1"/>
  </cols>
  <sheetData>
    <row r="1" spans="1:97" ht="14.25" x14ac:dyDescent="0.2">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15">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15">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15">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15">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15">
      <c r="BB6" s="6"/>
      <c r="BC6" s="6"/>
      <c r="BL6" s="6"/>
      <c r="BM6" s="8"/>
      <c r="BN6" s="6"/>
      <c r="BO6" s="22"/>
      <c r="BP6" s="6"/>
      <c r="BQ6" s="6"/>
      <c r="CK6" s="6"/>
      <c r="CL6" s="6"/>
      <c r="CN6" s="21"/>
      <c r="CO6" s="20"/>
    </row>
    <row r="7" spans="1:97" x14ac:dyDescent="0.15">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15">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15">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15">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15">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15">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15">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15">
      <c r="F14" s="26"/>
      <c r="L14" s="26"/>
      <c r="R14" s="22"/>
      <c r="X14" s="28"/>
      <c r="AD14" s="32"/>
      <c r="AF14"/>
      <c r="AJ14" s="25"/>
      <c r="AK14" s="32"/>
      <c r="AL14" s="28"/>
      <c r="AM14" s="22"/>
      <c r="AN14" s="26"/>
      <c r="AO14" s="26"/>
      <c r="BB14" s="6"/>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15">
      <c r="F15" s="26"/>
      <c r="L15" s="26"/>
      <c r="R15" s="22"/>
      <c r="X15" s="28"/>
      <c r="AD15" s="32"/>
      <c r="AF15"/>
      <c r="AJ15" s="25"/>
      <c r="AK15" s="32"/>
      <c r="AL15" s="28"/>
      <c r="AM15" s="22"/>
      <c r="AN15" s="26"/>
      <c r="AO15" s="26"/>
      <c r="BB15" s="11"/>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15">
      <c r="F16" s="26"/>
      <c r="L16" s="26"/>
      <c r="R16" s="22"/>
      <c r="X16" s="28"/>
      <c r="AD16" s="32"/>
      <c r="AF16"/>
      <c r="AJ16" s="25"/>
      <c r="AM16" s="22"/>
      <c r="AN16" s="26"/>
      <c r="AO16" s="26"/>
      <c r="BB16" s="11"/>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15">
      <c r="A17" s="37" t="s">
        <v>34</v>
      </c>
      <c r="B17" s="18" t="s" vm="2">
        <v>45</v>
      </c>
      <c r="F17" s="26"/>
      <c r="G17" s="37" t="s">
        <v>34</v>
      </c>
      <c r="H17" s="18" t="s" vm="2">
        <v>45</v>
      </c>
      <c r="L17" s="26"/>
      <c r="M17" s="37" t="s">
        <v>34</v>
      </c>
      <c r="N17" s="18" t="s" vm="2">
        <v>45</v>
      </c>
      <c r="R17" s="22"/>
      <c r="S17" s="37" t="s">
        <v>34</v>
      </c>
      <c r="T17" s="18" t="s" vm="2">
        <v>45</v>
      </c>
      <c r="X17" s="28"/>
      <c r="Y17" s="37" t="s">
        <v>34</v>
      </c>
      <c r="Z17" s="18" t="s" vm="2">
        <v>45</v>
      </c>
      <c r="AD17" s="32"/>
      <c r="AE17" s="37" t="s">
        <v>34</v>
      </c>
      <c r="AF17" s="18" t="s" vm="2">
        <v>45</v>
      </c>
      <c r="AJ17" s="25"/>
      <c r="AK17" s="37" t="s">
        <v>34</v>
      </c>
      <c r="AL17" s="18" t="s" vm="2">
        <v>45</v>
      </c>
      <c r="AM17" s="22"/>
      <c r="AN17" s="26"/>
      <c r="AO17" s="26"/>
      <c r="AQ17" s="37" t="s">
        <v>34</v>
      </c>
      <c r="AR17" s="18" t="s" vm="2">
        <v>45</v>
      </c>
      <c r="AW17" s="37" t="s">
        <v>34</v>
      </c>
      <c r="AX17" s="18" t="s" vm="2">
        <v>45</v>
      </c>
      <c r="BB17" s="6"/>
      <c r="BC17" s="37" t="s">
        <v>34</v>
      </c>
      <c r="BD17" s="18" t="s" vm="2">
        <v>45</v>
      </c>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15">
      <c r="A18" s="37" t="s">
        <v>35</v>
      </c>
      <c r="B18" s="18" t="s" vm="1">
        <v>42</v>
      </c>
      <c r="F18" s="26"/>
      <c r="G18" s="37" t="s">
        <v>35</v>
      </c>
      <c r="H18" s="18" t="s" vm="1">
        <v>42</v>
      </c>
      <c r="L18" s="26"/>
      <c r="M18" s="37" t="s">
        <v>35</v>
      </c>
      <c r="N18" s="18" t="s" vm="1">
        <v>42</v>
      </c>
      <c r="R18" s="22"/>
      <c r="S18" s="37" t="s">
        <v>35</v>
      </c>
      <c r="T18" s="18" t="s" vm="1">
        <v>42</v>
      </c>
      <c r="X18" s="28"/>
      <c r="Y18" s="37" t="s">
        <v>35</v>
      </c>
      <c r="Z18" s="18" t="s" vm="1">
        <v>42</v>
      </c>
      <c r="AD18" s="32"/>
      <c r="AE18" s="37" t="s">
        <v>35</v>
      </c>
      <c r="AF18" s="18" t="s" vm="1">
        <v>42</v>
      </c>
      <c r="AJ18" s="25"/>
      <c r="AK18" s="37" t="s">
        <v>35</v>
      </c>
      <c r="AL18" s="18" t="s" vm="1">
        <v>42</v>
      </c>
      <c r="AM18" s="22"/>
      <c r="AN18" s="26"/>
      <c r="AO18" s="26"/>
      <c r="AQ18" s="37" t="s">
        <v>35</v>
      </c>
      <c r="AR18" s="18" t="s" vm="1">
        <v>42</v>
      </c>
      <c r="AW18" s="37" t="s">
        <v>35</v>
      </c>
      <c r="AX18" s="18" t="s" vm="1">
        <v>42</v>
      </c>
      <c r="BB18" s="6"/>
      <c r="BC18" s="37" t="s">
        <v>35</v>
      </c>
      <c r="BD18" s="18" t="s" vm="1">
        <v>42</v>
      </c>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15">
      <c r="F19" s="26"/>
      <c r="L19" s="26"/>
      <c r="R19" s="22"/>
      <c r="X19" s="28"/>
      <c r="AD19" s="32"/>
      <c r="AF19"/>
      <c r="AJ19" s="25"/>
      <c r="AK19" s="32"/>
      <c r="AL19" s="28"/>
      <c r="AM19" s="22"/>
      <c r="AN19" s="26"/>
      <c r="AO19" s="26"/>
      <c r="BB19" s="6"/>
      <c r="BC19" s="11"/>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15">
      <c r="A20" s="37" t="s">
        <v>9</v>
      </c>
      <c r="B20" s="50" t="s">
        <v>56</v>
      </c>
      <c r="C20" s="50" t="s">
        <v>57</v>
      </c>
      <c r="D20" s="50" t="s">
        <v>58</v>
      </c>
      <c r="E20" s="18" t="s">
        <v>58</v>
      </c>
      <c r="F20" s="26"/>
      <c r="G20" s="37" t="s">
        <v>11</v>
      </c>
      <c r="H20" s="50" t="s">
        <v>56</v>
      </c>
      <c r="I20" s="50" t="s">
        <v>57</v>
      </c>
      <c r="J20" s="50" t="s">
        <v>58</v>
      </c>
      <c r="K20" s="18" t="s">
        <v>58</v>
      </c>
      <c r="L20" s="26"/>
      <c r="M20" s="37" t="s">
        <v>13</v>
      </c>
      <c r="N20" s="50" t="s">
        <v>56</v>
      </c>
      <c r="O20" s="50" t="s">
        <v>57</v>
      </c>
      <c r="P20" s="50" t="s">
        <v>58</v>
      </c>
      <c r="Q20" s="18" t="s">
        <v>58</v>
      </c>
      <c r="R20" s="22"/>
      <c r="S20" s="37" t="s">
        <v>17</v>
      </c>
      <c r="T20" s="50" t="s">
        <v>56</v>
      </c>
      <c r="U20" s="50" t="s">
        <v>57</v>
      </c>
      <c r="V20" s="50" t="s">
        <v>58</v>
      </c>
      <c r="W20" s="18" t="s">
        <v>58</v>
      </c>
      <c r="X20" s="28"/>
      <c r="Y20" s="37" t="s">
        <v>22</v>
      </c>
      <c r="Z20" s="50" t="s">
        <v>56</v>
      </c>
      <c r="AA20" s="50" t="s">
        <v>57</v>
      </c>
      <c r="AB20" s="50" t="s">
        <v>58</v>
      </c>
      <c r="AC20" s="18" t="s">
        <v>58</v>
      </c>
      <c r="AE20" s="50" t="s">
        <v>56</v>
      </c>
      <c r="AF20" s="50" t="s">
        <v>57</v>
      </c>
      <c r="AG20" s="50" t="s">
        <v>58</v>
      </c>
      <c r="AH20" s="18" t="s">
        <v>58</v>
      </c>
      <c r="AJ20" s="25"/>
      <c r="AK20" s="50" t="s">
        <v>56</v>
      </c>
      <c r="AL20" s="50" t="s">
        <v>57</v>
      </c>
      <c r="AM20" s="50" t="s">
        <v>58</v>
      </c>
      <c r="AN20" s="18" t="s">
        <v>58</v>
      </c>
      <c r="AQ20" s="37" t="s">
        <v>28</v>
      </c>
      <c r="AR20" s="50" t="s">
        <v>56</v>
      </c>
      <c r="AS20" s="50" t="s">
        <v>57</v>
      </c>
      <c r="AT20" s="50" t="s">
        <v>58</v>
      </c>
      <c r="AU20" s="18" t="s">
        <v>58</v>
      </c>
      <c r="AW20" s="50" t="s">
        <v>56</v>
      </c>
      <c r="AX20" s="50" t="s">
        <v>57</v>
      </c>
      <c r="AY20" s="50" t="s">
        <v>58</v>
      </c>
      <c r="AZ20" s="18" t="s">
        <v>58</v>
      </c>
      <c r="BA20"/>
      <c r="BB20" s="6"/>
      <c r="BC20" s="37" t="s">
        <v>43</v>
      </c>
      <c r="BD20" s="18" t="s">
        <v>56</v>
      </c>
      <c r="BE20" s="18" t="s">
        <v>57</v>
      </c>
      <c r="BF20" s="18" t="s">
        <v>48</v>
      </c>
      <c r="BG20" s="18" t="s">
        <v>58</v>
      </c>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15">
      <c r="A21" s="42" t="s">
        <v>77</v>
      </c>
      <c r="B21" s="43">
        <v>19401828.439999972</v>
      </c>
      <c r="C21" s="49">
        <v>0.11693786005853507</v>
      </c>
      <c r="D21" s="51">
        <v>34362</v>
      </c>
      <c r="E21" s="49">
        <v>0.21729809717136842</v>
      </c>
      <c r="F21" s="26"/>
      <c r="G21" s="42" t="s">
        <v>70</v>
      </c>
      <c r="H21" s="43">
        <v>77886913.739999995</v>
      </c>
      <c r="I21" s="49">
        <v>0.46943663312380701</v>
      </c>
      <c r="J21" s="51">
        <v>94735</v>
      </c>
      <c r="K21" s="49">
        <v>0.59908431510184468</v>
      </c>
      <c r="L21" s="26"/>
      <c r="M21" s="42" t="s">
        <v>70</v>
      </c>
      <c r="N21" s="43">
        <v>20158856.039999954</v>
      </c>
      <c r="O21" s="49">
        <v>0.12150058402153734</v>
      </c>
      <c r="P21" s="51">
        <v>35990</v>
      </c>
      <c r="Q21" s="49">
        <v>0.22759322848488298</v>
      </c>
      <c r="R21" s="22"/>
      <c r="S21" s="42" t="s">
        <v>94</v>
      </c>
      <c r="T21" s="43">
        <v>44618716.459999934</v>
      </c>
      <c r="U21" s="49">
        <v>0.26892399536086897</v>
      </c>
      <c r="V21" s="51">
        <v>41689</v>
      </c>
      <c r="W21" s="49">
        <v>0.26363251187291709</v>
      </c>
      <c r="X21" s="28"/>
      <c r="Y21" s="42" t="s">
        <v>59</v>
      </c>
      <c r="Z21" s="43">
        <v>38780224.139999889</v>
      </c>
      <c r="AA21" s="49">
        <v>0.23373448732144017</v>
      </c>
      <c r="AB21" s="51">
        <v>99066</v>
      </c>
      <c r="AC21" s="49">
        <v>0.62647265276697461</v>
      </c>
      <c r="AE21" s="43">
        <v>165915713.10000101</v>
      </c>
      <c r="AF21" s="49">
        <v>1</v>
      </c>
      <c r="AG21" s="51">
        <v>158133</v>
      </c>
      <c r="AH21" s="49">
        <v>1</v>
      </c>
      <c r="AJ21" s="25"/>
      <c r="AK21" s="43">
        <v>165915713.10000101</v>
      </c>
      <c r="AL21" s="49">
        <v>1</v>
      </c>
      <c r="AM21" s="51">
        <v>158133</v>
      </c>
      <c r="AN21" s="49">
        <v>1</v>
      </c>
      <c r="AQ21" s="42"/>
      <c r="AR21" s="43">
        <v>165915713.10000336</v>
      </c>
      <c r="AS21" s="49">
        <v>1.0000000000000142</v>
      </c>
      <c r="AT21" s="51">
        <v>158133</v>
      </c>
      <c r="AU21" s="49">
        <v>1</v>
      </c>
      <c r="AW21" s="43">
        <v>165915713.10000101</v>
      </c>
      <c r="AX21" s="49">
        <v>1</v>
      </c>
      <c r="AY21" s="51">
        <v>158133</v>
      </c>
      <c r="AZ21" s="49">
        <v>1</v>
      </c>
      <c r="BA21"/>
      <c r="BB21" s="28"/>
      <c r="BC21" s="42" t="s">
        <v>98</v>
      </c>
      <c r="BD21" s="44">
        <v>57419840.529999986</v>
      </c>
      <c r="BE21" s="49">
        <v>0.34607837592447799</v>
      </c>
      <c r="BF21" s="44">
        <v>61268</v>
      </c>
      <c r="BG21" s="49">
        <v>0.38744601063661599</v>
      </c>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15">
      <c r="A22" s="42" t="s">
        <v>78</v>
      </c>
      <c r="B22" s="43">
        <v>46184688.379999876</v>
      </c>
      <c r="C22" s="49">
        <v>0.27836235349308575</v>
      </c>
      <c r="D22" s="51">
        <v>51384</v>
      </c>
      <c r="E22" s="49">
        <v>0.32494166303048699</v>
      </c>
      <c r="F22" s="26"/>
      <c r="G22" s="42" t="s">
        <v>72</v>
      </c>
      <c r="H22" s="43">
        <v>86569524.330000371</v>
      </c>
      <c r="I22" s="49">
        <v>0.52176808761821758</v>
      </c>
      <c r="J22" s="51">
        <v>61756</v>
      </c>
      <c r="K22" s="49">
        <v>0.39053202051437713</v>
      </c>
      <c r="L22" s="26"/>
      <c r="M22" s="42" t="s">
        <v>71</v>
      </c>
      <c r="N22" s="43">
        <v>80243213.649999991</v>
      </c>
      <c r="O22" s="49">
        <v>0.48363842188735712</v>
      </c>
      <c r="P22" s="51">
        <v>84631</v>
      </c>
      <c r="Q22" s="49">
        <v>0.53518873353442986</v>
      </c>
      <c r="R22" s="22"/>
      <c r="S22" s="42" t="s">
        <v>95</v>
      </c>
      <c r="T22" s="43">
        <v>9072451.7899999842</v>
      </c>
      <c r="U22" s="49">
        <v>5.4681088490586907E-2</v>
      </c>
      <c r="V22" s="51">
        <v>9527</v>
      </c>
      <c r="W22" s="49">
        <v>6.024675431440623E-2</v>
      </c>
      <c r="X22" s="28"/>
      <c r="Y22" s="42" t="s">
        <v>60</v>
      </c>
      <c r="Z22" s="43">
        <v>47092263.930000052</v>
      </c>
      <c r="AA22" s="49">
        <v>0.28383245353992798</v>
      </c>
      <c r="AB22" s="51">
        <v>32643</v>
      </c>
      <c r="AC22" s="49">
        <v>0.20642750090114018</v>
      </c>
      <c r="AF22"/>
      <c r="AJ22" s="25"/>
      <c r="AM22"/>
      <c r="AQ22" s="42" t="s">
        <v>69</v>
      </c>
      <c r="AR22" s="43">
        <v>165915713.10000101</v>
      </c>
      <c r="AS22" s="49">
        <v>1</v>
      </c>
      <c r="AT22" s="51">
        <v>158133</v>
      </c>
      <c r="AU22" s="49">
        <v>1</v>
      </c>
      <c r="BA22"/>
      <c r="BB22" s="25"/>
      <c r="BC22" s="42" t="s">
        <v>99</v>
      </c>
      <c r="BD22" s="44">
        <v>32544825.729999907</v>
      </c>
      <c r="BE22" s="49">
        <v>0.19615276408681337</v>
      </c>
      <c r="BF22" s="44">
        <v>21740</v>
      </c>
      <c r="BG22" s="49">
        <v>0.13747921053796489</v>
      </c>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15">
      <c r="A23" s="42" t="s">
        <v>79</v>
      </c>
      <c r="B23" s="43">
        <v>42859151.120000191</v>
      </c>
      <c r="C23" s="49">
        <v>0.25831881935237833</v>
      </c>
      <c r="D23" s="51">
        <v>42116</v>
      </c>
      <c r="E23" s="49">
        <v>0.26633277051595811</v>
      </c>
      <c r="F23" s="26"/>
      <c r="G23" s="42" t="s">
        <v>74</v>
      </c>
      <c r="H23" s="43">
        <v>1459275.0299999989</v>
      </c>
      <c r="I23" s="49">
        <v>8.7952792579715586E-3</v>
      </c>
      <c r="J23" s="51">
        <v>1642</v>
      </c>
      <c r="K23" s="49">
        <v>1.0383664383778211E-2</v>
      </c>
      <c r="L23" s="26"/>
      <c r="M23" s="42" t="s">
        <v>72</v>
      </c>
      <c r="N23" s="43">
        <v>8278519.1599999908</v>
      </c>
      <c r="O23" s="49">
        <v>4.989593212916698E-2</v>
      </c>
      <c r="P23" s="51">
        <v>7510</v>
      </c>
      <c r="Q23" s="49">
        <v>4.749166840570912E-2</v>
      </c>
      <c r="R23" s="22"/>
      <c r="S23" s="42" t="s">
        <v>96</v>
      </c>
      <c r="T23" s="43">
        <v>95345589.170000225</v>
      </c>
      <c r="U23" s="49">
        <v>0.5746628055206161</v>
      </c>
      <c r="V23" s="51">
        <v>94937</v>
      </c>
      <c r="W23" s="49">
        <v>0.60036172082993433</v>
      </c>
      <c r="X23" s="28"/>
      <c r="Y23" s="42" t="s">
        <v>61</v>
      </c>
      <c r="Z23" s="43">
        <v>36423603.820000142</v>
      </c>
      <c r="AA23" s="49">
        <v>0.21953076739661689</v>
      </c>
      <c r="AB23" s="51">
        <v>15283</v>
      </c>
      <c r="AC23" s="49">
        <v>9.6646493774228029E-2</v>
      </c>
      <c r="AF23"/>
      <c r="AJ23" s="25"/>
      <c r="AM23"/>
      <c r="AT23"/>
      <c r="BA23"/>
      <c r="BB23" s="26"/>
      <c r="BC23" s="42" t="s">
        <v>100</v>
      </c>
      <c r="BD23" s="44">
        <v>27332953.70000004</v>
      </c>
      <c r="BE23" s="49">
        <v>0.16473999471964343</v>
      </c>
      <c r="BF23" s="44">
        <v>27708</v>
      </c>
      <c r="BG23" s="49">
        <v>0.17521959363320749</v>
      </c>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15">
      <c r="A24" s="42" t="s">
        <v>80</v>
      </c>
      <c r="B24" s="43">
        <v>57470045.160000339</v>
      </c>
      <c r="C24" s="49">
        <v>0.34638096709599708</v>
      </c>
      <c r="D24" s="51">
        <v>30271</v>
      </c>
      <c r="E24" s="49">
        <v>0.19142746928218651</v>
      </c>
      <c r="F24" s="26"/>
      <c r="G24" s="42" t="s">
        <v>69</v>
      </c>
      <c r="H24" s="43">
        <v>165915713.10000101</v>
      </c>
      <c r="I24" s="49">
        <v>1</v>
      </c>
      <c r="J24" s="51">
        <v>158133</v>
      </c>
      <c r="K24" s="49">
        <v>1</v>
      </c>
      <c r="L24" s="26"/>
      <c r="M24" s="42" t="s">
        <v>73</v>
      </c>
      <c r="N24" s="43">
        <v>1224354.1200000001</v>
      </c>
      <c r="O24" s="49">
        <v>7.3793741239086578E-3</v>
      </c>
      <c r="P24" s="51">
        <v>1373</v>
      </c>
      <c r="Q24" s="49">
        <v>8.6825646765697224E-3</v>
      </c>
      <c r="R24" s="22"/>
      <c r="S24" s="42" t="s">
        <v>97</v>
      </c>
      <c r="T24" s="43">
        <v>16878955.679999977</v>
      </c>
      <c r="U24" s="49">
        <v>0.10173211062792265</v>
      </c>
      <c r="V24" s="51">
        <v>11980</v>
      </c>
      <c r="W24" s="49">
        <v>7.5759012982742374E-2</v>
      </c>
      <c r="X24" s="28"/>
      <c r="Y24" s="42" t="s">
        <v>62</v>
      </c>
      <c r="Z24" s="43">
        <v>24539369.369999919</v>
      </c>
      <c r="AA24" s="49">
        <v>0.1479026242391491</v>
      </c>
      <c r="AB24" s="51">
        <v>6958</v>
      </c>
      <c r="AC24" s="49">
        <v>4.4000935921028501E-2</v>
      </c>
      <c r="AF24"/>
      <c r="AJ24" s="25"/>
      <c r="AM24"/>
      <c r="AT24"/>
      <c r="BA24"/>
      <c r="BB24" s="26"/>
      <c r="BC24" s="42" t="s">
        <v>101</v>
      </c>
      <c r="BD24" s="44">
        <v>28573594.260000013</v>
      </c>
      <c r="BE24" s="49">
        <v>0.17221752976933588</v>
      </c>
      <c r="BF24" s="44">
        <v>31780</v>
      </c>
      <c r="BG24" s="49">
        <v>0.20097006949846016</v>
      </c>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15">
      <c r="A25" s="42" t="s">
        <v>69</v>
      </c>
      <c r="B25" s="43">
        <v>165915713.10000101</v>
      </c>
      <c r="C25" s="49">
        <v>1</v>
      </c>
      <c r="D25" s="51">
        <v>158133</v>
      </c>
      <c r="E25" s="49">
        <v>1</v>
      </c>
      <c r="F25" s="26"/>
      <c r="J25"/>
      <c r="K25"/>
      <c r="L25" s="26"/>
      <c r="M25" s="42" t="s">
        <v>74</v>
      </c>
      <c r="N25" s="43">
        <v>3128959.920000006</v>
      </c>
      <c r="O25" s="49">
        <v>1.8858731711047245E-2</v>
      </c>
      <c r="P25" s="51">
        <v>2317</v>
      </c>
      <c r="Q25" s="49">
        <v>1.4652223128632227E-2</v>
      </c>
      <c r="R25" s="22"/>
      <c r="S25" s="42" t="s">
        <v>69</v>
      </c>
      <c r="T25" s="43">
        <v>165915713.10000101</v>
      </c>
      <c r="U25" s="49">
        <v>1</v>
      </c>
      <c r="V25" s="51">
        <v>158133</v>
      </c>
      <c r="W25" s="49">
        <v>1</v>
      </c>
      <c r="Y25" s="42" t="s">
        <v>63</v>
      </c>
      <c r="Z25" s="43">
        <v>15361670.789999999</v>
      </c>
      <c r="AA25" s="49">
        <v>9.2587196854231557E-2</v>
      </c>
      <c r="AB25" s="51">
        <v>3528</v>
      </c>
      <c r="AC25" s="49">
        <v>2.2310333706436987E-2</v>
      </c>
      <c r="AF25"/>
      <c r="AJ25" s="25"/>
      <c r="AM25"/>
      <c r="AT25"/>
      <c r="BA25"/>
      <c r="BB25" s="26"/>
      <c r="BC25" s="42" t="s">
        <v>102</v>
      </c>
      <c r="BD25" s="44">
        <v>20044498.879999992</v>
      </c>
      <c r="BE25" s="49">
        <v>0.12081133549972289</v>
      </c>
      <c r="BF25" s="44">
        <v>15637</v>
      </c>
      <c r="BG25" s="49">
        <v>9.8885115693751469E-2</v>
      </c>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15">
      <c r="D26"/>
      <c r="F26" s="26"/>
      <c r="J26"/>
      <c r="K26"/>
      <c r="L26" s="26"/>
      <c r="M26" s="42" t="s">
        <v>75</v>
      </c>
      <c r="N26" s="43">
        <v>46101574.920000382</v>
      </c>
      <c r="O26" s="49">
        <v>0.27786141564671429</v>
      </c>
      <c r="P26" s="51">
        <v>22678</v>
      </c>
      <c r="Q26" s="49">
        <v>0.14341092624562868</v>
      </c>
      <c r="R26" s="22"/>
      <c r="Y26" s="42" t="s">
        <v>64</v>
      </c>
      <c r="Z26" s="43">
        <v>2794660.8799999994</v>
      </c>
      <c r="AA26" s="49">
        <v>1.6843859016026991E-2</v>
      </c>
      <c r="AB26" s="51">
        <v>521</v>
      </c>
      <c r="AC26" s="49">
        <v>3.2946949719539881E-3</v>
      </c>
      <c r="AF26"/>
      <c r="AJ26" s="25"/>
      <c r="AM26"/>
      <c r="AT26"/>
      <c r="BA26"/>
      <c r="BC26" s="42" t="s">
        <v>69</v>
      </c>
      <c r="BD26" s="44">
        <v>165915713.10000101</v>
      </c>
      <c r="BE26" s="49">
        <v>1</v>
      </c>
      <c r="BF26" s="44">
        <v>158133</v>
      </c>
      <c r="BG26" s="49">
        <v>1</v>
      </c>
      <c r="BH26" s="22"/>
      <c r="BI26" s="26"/>
      <c r="BJ26" s="26"/>
      <c r="BO26"/>
      <c r="BZ26" s="25"/>
      <c r="CA26" s="32"/>
      <c r="CB26" s="28"/>
      <c r="CC26" s="22"/>
      <c r="CD26" s="26"/>
      <c r="CE26" s="26"/>
      <c r="CN26" s="25"/>
      <c r="CO26" s="32"/>
      <c r="CP26" s="28"/>
      <c r="CQ26" s="22"/>
      <c r="CR26" s="26"/>
      <c r="CS26" s="26"/>
    </row>
    <row r="27" spans="1:97" x14ac:dyDescent="0.15">
      <c r="D27"/>
      <c r="F27" s="26"/>
      <c r="J27"/>
      <c r="K27"/>
      <c r="L27" s="26"/>
      <c r="M27" s="42" t="s">
        <v>76</v>
      </c>
      <c r="N27" s="43">
        <v>6780235.2899999879</v>
      </c>
      <c r="O27" s="49">
        <v>4.0865540480264174E-2</v>
      </c>
      <c r="P27" s="51">
        <v>3634</v>
      </c>
      <c r="Q27" s="49">
        <v>2.2980655524147395E-2</v>
      </c>
      <c r="R27" s="22"/>
      <c r="Y27" s="42" t="s">
        <v>65</v>
      </c>
      <c r="Z27" s="43">
        <v>542675.1399999999</v>
      </c>
      <c r="AA27" s="49">
        <v>3.2707880999367301E-3</v>
      </c>
      <c r="AB27" s="51">
        <v>84</v>
      </c>
      <c r="AC27" s="49">
        <v>5.3119842158183301E-4</v>
      </c>
      <c r="AF27"/>
      <c r="AJ27" s="25"/>
      <c r="AM27"/>
      <c r="AT27"/>
      <c r="BA27"/>
      <c r="BB27" s="6"/>
      <c r="BF27" s="32"/>
      <c r="BG27" s="28"/>
      <c r="BH27" s="22"/>
      <c r="BI27" s="26"/>
      <c r="BJ27" s="26"/>
      <c r="BO27"/>
      <c r="BZ27" s="25"/>
      <c r="CA27" s="32"/>
      <c r="CB27" s="28"/>
      <c r="CC27" s="22"/>
      <c r="CD27" s="26"/>
      <c r="CE27" s="26"/>
      <c r="CN27" s="25"/>
      <c r="CO27" s="32"/>
      <c r="CP27" s="28"/>
      <c r="CQ27" s="22"/>
      <c r="CR27" s="26"/>
      <c r="CS27" s="26"/>
    </row>
    <row r="28" spans="1:97" x14ac:dyDescent="0.15">
      <c r="D28"/>
      <c r="F28" s="26"/>
      <c r="J28"/>
      <c r="K28"/>
      <c r="L28" s="26"/>
      <c r="M28" s="42" t="s">
        <v>69</v>
      </c>
      <c r="N28" s="43">
        <v>165915713.10000101</v>
      </c>
      <c r="O28" s="49">
        <v>1</v>
      </c>
      <c r="P28" s="51">
        <v>158133</v>
      </c>
      <c r="Q28" s="49">
        <v>1</v>
      </c>
      <c r="R28" s="22"/>
      <c r="Y28" s="42" t="s">
        <v>66</v>
      </c>
      <c r="Z28" s="43">
        <v>273068.79000000004</v>
      </c>
      <c r="AA28" s="49">
        <v>1.6458283841712781E-3</v>
      </c>
      <c r="AB28" s="51">
        <v>37</v>
      </c>
      <c r="AC28" s="49">
        <v>2.3398025712533121E-4</v>
      </c>
      <c r="AF28"/>
      <c r="AJ28" s="25"/>
      <c r="AM28"/>
      <c r="AT28"/>
      <c r="BA28"/>
      <c r="BB28" s="6"/>
      <c r="BO28"/>
      <c r="BZ28" s="25"/>
      <c r="CA28" s="32"/>
      <c r="CB28" s="28"/>
      <c r="CC28" s="22"/>
      <c r="CD28" s="26"/>
      <c r="CE28" s="26"/>
      <c r="CN28" s="25"/>
      <c r="CO28" s="32"/>
      <c r="CP28" s="28"/>
      <c r="CQ28" s="22"/>
      <c r="CR28" s="26"/>
      <c r="CS28" s="26"/>
    </row>
    <row r="29" spans="1:97" x14ac:dyDescent="0.15">
      <c r="D29"/>
      <c r="F29" s="26"/>
      <c r="J29"/>
      <c r="K29"/>
      <c r="R29" s="22"/>
      <c r="Y29" s="42" t="s">
        <v>67</v>
      </c>
      <c r="Z29" s="43">
        <v>98712.09</v>
      </c>
      <c r="AA29" s="49">
        <v>5.9495323351624969E-4</v>
      </c>
      <c r="AB29" s="51">
        <v>12</v>
      </c>
      <c r="AC29" s="49">
        <v>7.5885488797404715E-5</v>
      </c>
      <c r="AF29"/>
      <c r="AJ29" s="25"/>
      <c r="AM29"/>
      <c r="AT29"/>
      <c r="BA29"/>
      <c r="BB29" s="6"/>
      <c r="BO29"/>
      <c r="BZ29" s="25"/>
      <c r="CA29" s="32"/>
      <c r="CB29" s="28"/>
      <c r="CC29" s="22"/>
      <c r="CD29" s="26"/>
      <c r="CE29" s="26"/>
      <c r="CN29" s="25"/>
      <c r="CO29" s="32"/>
      <c r="CP29" s="28"/>
      <c r="CQ29" s="22"/>
      <c r="CR29" s="26"/>
      <c r="CS29" s="26"/>
    </row>
    <row r="30" spans="1:97" x14ac:dyDescent="0.15">
      <c r="D30"/>
      <c r="F30" s="26"/>
      <c r="J30"/>
      <c r="K30"/>
      <c r="Y30" s="42" t="s">
        <v>68</v>
      </c>
      <c r="Z30" s="43">
        <v>9464.15</v>
      </c>
      <c r="AA30" s="49">
        <v>5.7041914977008539E-5</v>
      </c>
      <c r="AB30" s="51">
        <v>1</v>
      </c>
      <c r="AC30" s="49">
        <v>6.3237907331170596E-6</v>
      </c>
      <c r="AF30"/>
      <c r="AJ30" s="25"/>
      <c r="AM30"/>
      <c r="AT30"/>
      <c r="BA30"/>
      <c r="BB30" s="11"/>
      <c r="BO30"/>
      <c r="BZ30" s="25"/>
      <c r="CA30" s="32"/>
      <c r="CB30" s="28"/>
      <c r="CC30" s="22"/>
      <c r="CD30" s="26"/>
      <c r="CE30" s="26"/>
      <c r="CN30" s="25"/>
      <c r="CO30" s="32"/>
      <c r="CP30" s="28"/>
      <c r="CQ30" s="22"/>
      <c r="CR30" s="26"/>
      <c r="CS30" s="26"/>
    </row>
    <row r="31" spans="1:97" x14ac:dyDescent="0.15">
      <c r="D31"/>
      <c r="F31" s="26"/>
      <c r="J31"/>
      <c r="K31"/>
      <c r="Y31" s="42" t="s">
        <v>69</v>
      </c>
      <c r="Z31" s="43">
        <v>165915713.10000101</v>
      </c>
      <c r="AA31" s="49">
        <v>1</v>
      </c>
      <c r="AB31" s="51">
        <v>158133</v>
      </c>
      <c r="AC31" s="49">
        <v>1</v>
      </c>
      <c r="AF31"/>
      <c r="AJ31" s="25"/>
      <c r="AK31" s="32"/>
      <c r="AL31" s="28"/>
      <c r="AM31" s="22"/>
      <c r="AN31" s="26"/>
      <c r="AO31" s="26"/>
      <c r="AT31"/>
      <c r="BA31"/>
      <c r="BB31" s="11"/>
      <c r="BO31"/>
      <c r="BZ31" s="25"/>
      <c r="CA31" s="32"/>
      <c r="CB31" s="28"/>
      <c r="CC31" s="22"/>
      <c r="CD31" s="26"/>
      <c r="CE31" s="26"/>
      <c r="CN31" s="25"/>
      <c r="CO31" s="32"/>
      <c r="CP31" s="28"/>
      <c r="CQ31" s="22"/>
      <c r="CR31" s="26"/>
      <c r="CS31" s="26"/>
    </row>
    <row r="32" spans="1:97" x14ac:dyDescent="0.15">
      <c r="D32"/>
      <c r="F32" s="26"/>
      <c r="J32"/>
      <c r="K32"/>
      <c r="Y32"/>
      <c r="AF32"/>
      <c r="AJ32" s="25"/>
      <c r="AK32" s="32"/>
      <c r="AL32" s="28"/>
      <c r="AM32" s="22"/>
      <c r="AN32" s="26"/>
      <c r="AO32" s="26"/>
      <c r="AT32"/>
      <c r="BA32"/>
      <c r="BB32" s="6"/>
      <c r="BO32"/>
      <c r="BZ32" s="25"/>
      <c r="CA32" s="32"/>
      <c r="CB32" s="28"/>
      <c r="CC32" s="22"/>
      <c r="CD32" s="26"/>
      <c r="CE32" s="26"/>
      <c r="CN32" s="25"/>
      <c r="CO32" s="32"/>
      <c r="CP32" s="28"/>
      <c r="CQ32" s="22"/>
      <c r="CR32" s="26"/>
      <c r="CS32" s="26"/>
    </row>
    <row r="33" spans="4:97" x14ac:dyDescent="0.15">
      <c r="D33"/>
      <c r="F33" s="26"/>
      <c r="J33"/>
      <c r="K33"/>
      <c r="Y33"/>
      <c r="AF33"/>
      <c r="AT33"/>
      <c r="BA33"/>
      <c r="BB33" s="6"/>
      <c r="BO33"/>
      <c r="BZ33" s="25"/>
      <c r="CA33" s="32"/>
      <c r="CB33" s="28"/>
      <c r="CC33" s="22"/>
      <c r="CD33" s="26"/>
      <c r="CE33" s="26"/>
      <c r="CN33" s="25"/>
      <c r="CO33" s="32"/>
      <c r="CP33" s="28"/>
      <c r="CQ33" s="22"/>
      <c r="CR33" s="26"/>
      <c r="CS33" s="26"/>
    </row>
    <row r="34" spans="4:97" x14ac:dyDescent="0.15">
      <c r="D34"/>
      <c r="F34" s="26"/>
      <c r="J34"/>
      <c r="K34"/>
      <c r="Y34"/>
      <c r="AF34"/>
      <c r="AT34"/>
      <c r="BA34"/>
      <c r="BB34" s="6"/>
      <c r="BO34"/>
      <c r="BZ34" s="25"/>
      <c r="CA34" s="32"/>
      <c r="CB34" s="28"/>
      <c r="CC34" s="22"/>
      <c r="CD34" s="26"/>
      <c r="CE34" s="26"/>
      <c r="CN34" s="25"/>
      <c r="CO34" s="32"/>
      <c r="CP34" s="28"/>
      <c r="CQ34" s="22"/>
      <c r="CR34" s="26"/>
      <c r="CS34" s="26"/>
    </row>
    <row r="35" spans="4:97" x14ac:dyDescent="0.15">
      <c r="D35"/>
      <c r="F35" s="26"/>
      <c r="J35"/>
      <c r="K35"/>
      <c r="Y35"/>
      <c r="AF35"/>
      <c r="AT35"/>
      <c r="BA35"/>
      <c r="BB35" s="6"/>
      <c r="BC35" s="6"/>
      <c r="BO35"/>
      <c r="BZ35" s="25"/>
      <c r="CA35" s="32"/>
      <c r="CB35" s="28"/>
      <c r="CC35" s="22"/>
      <c r="CD35" s="26"/>
      <c r="CE35" s="26"/>
      <c r="CN35" s="25"/>
      <c r="CO35" s="32"/>
      <c r="CP35" s="28"/>
      <c r="CQ35" s="22"/>
      <c r="CR35" s="26"/>
      <c r="CS35" s="26"/>
    </row>
    <row r="36" spans="4:97" x14ac:dyDescent="0.15">
      <c r="D36"/>
      <c r="F36" s="26"/>
      <c r="J36"/>
      <c r="K36"/>
      <c r="Y36"/>
      <c r="AF36"/>
      <c r="AT36"/>
      <c r="BA36"/>
      <c r="BB36" s="28"/>
      <c r="BC36" s="28"/>
      <c r="BO36"/>
      <c r="BZ36" s="25"/>
      <c r="CA36" s="32"/>
      <c r="CB36" s="28"/>
      <c r="CC36" s="22"/>
      <c r="CD36" s="26"/>
      <c r="CE36" s="26"/>
      <c r="CN36" s="25"/>
      <c r="CO36" s="32"/>
      <c r="CP36" s="28"/>
      <c r="CQ36" s="22"/>
      <c r="CR36" s="26"/>
      <c r="CS36" s="26"/>
    </row>
    <row r="37" spans="4:97" x14ac:dyDescent="0.15">
      <c r="D37"/>
      <c r="F37" s="26"/>
      <c r="J37"/>
      <c r="K37"/>
      <c r="Y37"/>
      <c r="AT37"/>
      <c r="BA37"/>
      <c r="BB37" s="25"/>
      <c r="BC37" s="25"/>
      <c r="BZ37" s="25"/>
      <c r="CA37" s="32"/>
      <c r="CB37" s="28"/>
      <c r="CC37" s="22"/>
      <c r="CD37" s="26"/>
      <c r="CE37" s="26"/>
      <c r="CN37" s="25"/>
      <c r="CO37" s="32"/>
      <c r="CP37" s="28"/>
      <c r="CQ37" s="22"/>
      <c r="CR37" s="26"/>
      <c r="CS37" s="26"/>
    </row>
    <row r="38" spans="4:97" x14ac:dyDescent="0.15">
      <c r="D38"/>
      <c r="F38" s="26"/>
      <c r="J38"/>
      <c r="K38"/>
      <c r="Y38"/>
      <c r="AT38"/>
      <c r="BA38"/>
      <c r="BB38" s="26"/>
      <c r="BC38" s="26"/>
      <c r="BZ38" s="25"/>
      <c r="CA38" s="32"/>
      <c r="CB38" s="28"/>
      <c r="CC38" s="22"/>
      <c r="CD38" s="26"/>
      <c r="CE38" s="26"/>
      <c r="CN38" s="25"/>
      <c r="CO38" s="32"/>
      <c r="CP38" s="28"/>
      <c r="CQ38" s="22"/>
      <c r="CR38" s="26"/>
      <c r="CS38" s="26"/>
    </row>
    <row r="39" spans="4:97" x14ac:dyDescent="0.15">
      <c r="D39"/>
      <c r="F39" s="26"/>
      <c r="J39"/>
      <c r="K39"/>
      <c r="Y39"/>
      <c r="AT39"/>
      <c r="BA39"/>
      <c r="BB39" s="26"/>
      <c r="BC39" s="26"/>
      <c r="BZ39" s="25"/>
      <c r="CA39" s="32"/>
      <c r="CB39" s="28"/>
      <c r="CC39" s="22"/>
      <c r="CD39" s="26"/>
      <c r="CE39" s="26"/>
      <c r="CN39" s="25"/>
      <c r="CO39" s="32"/>
      <c r="CP39" s="28"/>
      <c r="CQ39" s="22"/>
      <c r="CR39" s="26"/>
      <c r="CS39" s="26"/>
    </row>
    <row r="40" spans="4:97" x14ac:dyDescent="0.15">
      <c r="D40"/>
      <c r="F40" s="26"/>
      <c r="J40"/>
      <c r="K40"/>
      <c r="Y40"/>
      <c r="BA40"/>
      <c r="BB40" s="26"/>
      <c r="BC40" s="26"/>
      <c r="CN40" s="25"/>
      <c r="CO40" s="32"/>
      <c r="CP40" s="28"/>
      <c r="CQ40" s="22"/>
      <c r="CR40" s="26"/>
      <c r="CS40" s="26"/>
    </row>
    <row r="41" spans="4:97" x14ac:dyDescent="0.15">
      <c r="D41"/>
      <c r="F41" s="26"/>
      <c r="Y41"/>
      <c r="BA41"/>
      <c r="BB41" s="26"/>
      <c r="BC41" s="26"/>
      <c r="BL41" s="21"/>
      <c r="BM41" s="20"/>
      <c r="BN41" s="6"/>
      <c r="BO41" s="22"/>
      <c r="BP41" s="6"/>
      <c r="BQ41" s="6"/>
      <c r="CN41" s="25"/>
      <c r="CO41" s="32"/>
      <c r="CP41" s="28"/>
      <c r="CQ41" s="22"/>
      <c r="CR41" s="26"/>
      <c r="CS41" s="26"/>
    </row>
    <row r="42" spans="4:97" x14ac:dyDescent="0.15">
      <c r="D42"/>
      <c r="F42" s="26"/>
      <c r="Y42"/>
      <c r="BA42"/>
      <c r="BB42" s="26"/>
      <c r="BC42" s="26"/>
      <c r="BL42" s="21"/>
      <c r="BM42" s="23"/>
      <c r="BN42" s="6"/>
      <c r="BO42" s="22"/>
      <c r="BP42" s="6"/>
      <c r="BQ42" s="6"/>
      <c r="CN42" s="25"/>
      <c r="CO42" s="32"/>
      <c r="CP42" s="28"/>
      <c r="CQ42" s="22"/>
      <c r="CR42" s="26"/>
      <c r="CS42" s="26"/>
    </row>
    <row r="43" spans="4:97" x14ac:dyDescent="0.15">
      <c r="D43"/>
      <c r="F43" s="26"/>
      <c r="Y43"/>
      <c r="BA43"/>
      <c r="BL43" s="21"/>
      <c r="BM43" s="23"/>
      <c r="BN43" s="6"/>
      <c r="BO43" s="22"/>
      <c r="BP43" s="6"/>
      <c r="BQ43" s="6"/>
      <c r="CN43" s="25"/>
      <c r="CO43" s="32"/>
      <c r="CP43" s="28"/>
      <c r="CQ43" s="22"/>
      <c r="CR43" s="26"/>
      <c r="CS43" s="26"/>
    </row>
    <row r="44" spans="4:97" x14ac:dyDescent="0.15">
      <c r="D44"/>
      <c r="F44" s="26"/>
      <c r="Y44"/>
      <c r="BA44"/>
      <c r="BB44" s="14"/>
      <c r="BC44" s="14"/>
      <c r="BL44" s="21"/>
      <c r="BM44" s="20"/>
      <c r="BN44" s="6"/>
      <c r="BO44" s="22"/>
      <c r="BP44" s="6"/>
      <c r="BQ44" s="6"/>
      <c r="CN44" s="25"/>
      <c r="CO44" s="32"/>
      <c r="CP44" s="28"/>
      <c r="CQ44" s="22"/>
      <c r="CR44" s="26"/>
      <c r="CS44" s="26"/>
    </row>
    <row r="45" spans="4:97" x14ac:dyDescent="0.15">
      <c r="D45"/>
      <c r="F45" s="26"/>
      <c r="Y45"/>
      <c r="BA45"/>
      <c r="BB45" s="14"/>
      <c r="BC45" s="14"/>
      <c r="BL45" s="6"/>
      <c r="BM45" s="8"/>
      <c r="BN45" s="6"/>
      <c r="BO45" s="22"/>
      <c r="BP45" s="6"/>
      <c r="BQ45" s="6"/>
      <c r="CN45" s="25"/>
      <c r="CO45" s="32"/>
      <c r="CP45" s="28"/>
      <c r="CQ45" s="22"/>
      <c r="CR45" s="26"/>
      <c r="CS45" s="26"/>
    </row>
    <row r="46" spans="4:97" x14ac:dyDescent="0.15">
      <c r="D46"/>
      <c r="F46" s="26"/>
      <c r="Y46"/>
      <c r="BA46"/>
      <c r="BB46" s="14"/>
      <c r="BC46" s="14"/>
      <c r="BL46" s="20"/>
      <c r="BM46" s="29"/>
      <c r="BN46" s="28"/>
      <c r="BO46" s="28"/>
      <c r="BP46" s="28"/>
      <c r="BQ46" s="28"/>
      <c r="CN46" s="25"/>
      <c r="CO46" s="32"/>
      <c r="CP46" s="28"/>
      <c r="CQ46" s="22"/>
      <c r="CR46" s="26"/>
      <c r="CS46" s="26"/>
    </row>
    <row r="47" spans="4:97" x14ac:dyDescent="0.15">
      <c r="D47"/>
      <c r="F47" s="26"/>
      <c r="Y47"/>
      <c r="BA47"/>
      <c r="BB47" s="11"/>
      <c r="BC47" s="11"/>
      <c r="BL47" s="20"/>
      <c r="BM47" s="29"/>
      <c r="BN47" s="25"/>
      <c r="BO47" s="28"/>
      <c r="BP47" s="25"/>
      <c r="BQ47" s="25"/>
      <c r="CN47" s="25"/>
      <c r="CO47" s="32"/>
      <c r="CP47" s="28"/>
      <c r="CQ47" s="22"/>
      <c r="CR47" s="26"/>
      <c r="CS47" s="26"/>
    </row>
    <row r="48" spans="4:97" x14ac:dyDescent="0.15">
      <c r="D48"/>
      <c r="Y48"/>
      <c r="BA48"/>
      <c r="BL48" s="25"/>
      <c r="BM48" s="32"/>
      <c r="BN48" s="28"/>
      <c r="BO48" s="22"/>
      <c r="BP48" s="26"/>
      <c r="BQ48" s="26"/>
      <c r="BZ48" s="13"/>
      <c r="CG48" s="21"/>
      <c r="CH48" s="20"/>
      <c r="CN48" s="25"/>
      <c r="CO48" s="32"/>
      <c r="CP48" s="28"/>
      <c r="CQ48" s="22"/>
      <c r="CR48" s="26"/>
      <c r="CS48" s="26"/>
    </row>
    <row r="49" spans="25:97" x14ac:dyDescent="0.15">
      <c r="Y49"/>
      <c r="BA49"/>
      <c r="BB49" s="2"/>
      <c r="BC49" s="2"/>
      <c r="BL49" s="30"/>
      <c r="BM49" s="32"/>
      <c r="BN49" s="28"/>
      <c r="BO49" s="22"/>
      <c r="BP49" s="26"/>
      <c r="BQ49" s="26"/>
      <c r="BZ49" s="21"/>
      <c r="CA49" s="20"/>
      <c r="CG49" s="21"/>
      <c r="CH49" s="20"/>
      <c r="CN49" s="25"/>
      <c r="CO49" s="32"/>
      <c r="CP49" s="28"/>
      <c r="CQ49" s="22"/>
      <c r="CR49" s="26"/>
      <c r="CS49" s="26"/>
    </row>
    <row r="50" spans="25:97" x14ac:dyDescent="0.15">
      <c r="Y50"/>
      <c r="BA50"/>
      <c r="BB50" s="2"/>
      <c r="BC50" s="2"/>
      <c r="BL50" s="30"/>
      <c r="BM50" s="32"/>
      <c r="BN50" s="28"/>
      <c r="BO50" s="22"/>
      <c r="BP50" s="26"/>
      <c r="BQ50" s="26"/>
      <c r="BZ50" s="21"/>
      <c r="CA50" s="20"/>
      <c r="CG50" s="21"/>
      <c r="CH50" s="20"/>
      <c r="CN50" s="25"/>
      <c r="CO50" s="32"/>
      <c r="CP50" s="28"/>
      <c r="CQ50" s="22"/>
      <c r="CR50" s="26"/>
      <c r="CS50" s="26"/>
    </row>
    <row r="51" spans="25:97" x14ac:dyDescent="0.15">
      <c r="Y51"/>
      <c r="BA51"/>
      <c r="BB51" s="2"/>
      <c r="BC51" s="2"/>
      <c r="BL51" s="30"/>
      <c r="BM51" s="32"/>
      <c r="BN51" s="28"/>
      <c r="BO51" s="22"/>
      <c r="BP51" s="26"/>
      <c r="BQ51" s="26"/>
      <c r="BZ51" s="21"/>
      <c r="CA51" s="20"/>
      <c r="CG51" s="21"/>
      <c r="CH51" s="20"/>
      <c r="CN51" s="25"/>
      <c r="CO51" s="32"/>
      <c r="CP51" s="28"/>
      <c r="CQ51" s="22"/>
      <c r="CR51" s="26"/>
      <c r="CS51" s="26"/>
    </row>
    <row r="52" spans="25:97" x14ac:dyDescent="0.15">
      <c r="Y52"/>
      <c r="BA52"/>
      <c r="BB52" s="11"/>
      <c r="BC52" s="11"/>
      <c r="BL52" s="30"/>
      <c r="BM52" s="32"/>
      <c r="BN52" s="28"/>
      <c r="BO52" s="22"/>
      <c r="BP52" s="26"/>
      <c r="BQ52" s="26"/>
      <c r="BZ52" s="21"/>
      <c r="CA52" s="20"/>
      <c r="CG52" s="21"/>
      <c r="CH52" s="20"/>
      <c r="CN52" s="25"/>
      <c r="CO52" s="32"/>
      <c r="CP52" s="28"/>
      <c r="CQ52" s="22"/>
      <c r="CR52" s="26"/>
      <c r="CS52" s="26"/>
    </row>
    <row r="53" spans="25:97" x14ac:dyDescent="0.15">
      <c r="Y53"/>
      <c r="BA53"/>
      <c r="BB53" s="25"/>
      <c r="BC53" s="25"/>
      <c r="BL53" s="30"/>
      <c r="BM53" s="32"/>
      <c r="BN53" s="28"/>
      <c r="BO53" s="22"/>
      <c r="BP53" s="26"/>
      <c r="BQ53" s="26"/>
      <c r="CN53" s="25"/>
      <c r="CO53" s="32"/>
      <c r="CP53" s="28"/>
      <c r="CQ53" s="22"/>
      <c r="CR53" s="26"/>
      <c r="CS53" s="26"/>
    </row>
    <row r="54" spans="25:97" x14ac:dyDescent="0.15">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15">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15">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15">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15">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15">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15">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15">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15">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15">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15">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15">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15">
      <c r="AX66" s="21"/>
      <c r="AY66" s="20"/>
      <c r="AZ66" s="6"/>
      <c r="BA66" s="22"/>
      <c r="BB66" s="6"/>
      <c r="BC66" s="6"/>
      <c r="BL66" s="25"/>
      <c r="BM66" s="32"/>
      <c r="BN66" s="28"/>
      <c r="BO66" s="22"/>
      <c r="BP66" s="26"/>
      <c r="BQ66" s="26"/>
      <c r="CJ66"/>
      <c r="CN66" s="25"/>
      <c r="CO66" s="32"/>
      <c r="CP66" s="28"/>
      <c r="CQ66" s="22"/>
      <c r="CR66" s="26"/>
      <c r="CS66" s="26"/>
    </row>
    <row r="67" spans="50:97" x14ac:dyDescent="0.15">
      <c r="AX67" s="21"/>
      <c r="AY67" s="20"/>
      <c r="AZ67" s="6"/>
      <c r="BA67" s="22"/>
      <c r="BB67" s="6"/>
      <c r="BC67" s="6"/>
      <c r="CJ67"/>
      <c r="CN67" s="25"/>
      <c r="CO67" s="32"/>
      <c r="CP67" s="28"/>
      <c r="CQ67" s="22"/>
      <c r="CR67" s="26"/>
      <c r="CS67" s="26"/>
    </row>
    <row r="68" spans="50:97" x14ac:dyDescent="0.15">
      <c r="AX68" s="6"/>
      <c r="AY68" s="6"/>
      <c r="AZ68" s="6"/>
      <c r="BA68" s="22"/>
      <c r="BB68" s="6"/>
      <c r="BC68" s="6"/>
      <c r="CN68" s="25"/>
      <c r="CO68" s="32"/>
      <c r="CP68" s="28"/>
      <c r="CQ68" s="22"/>
      <c r="CR68" s="26"/>
      <c r="CS68" s="26"/>
    </row>
    <row r="69" spans="50:97" x14ac:dyDescent="0.15">
      <c r="AX69" s="20"/>
      <c r="AY69" s="25"/>
      <c r="AZ69" s="25"/>
      <c r="BA69" s="25"/>
      <c r="BB69" s="25"/>
      <c r="BC69" s="25"/>
      <c r="CN69" s="25"/>
      <c r="CO69" s="32"/>
      <c r="CP69" s="28"/>
      <c r="CQ69" s="22"/>
      <c r="CR69" s="26"/>
      <c r="CS69" s="26"/>
    </row>
    <row r="70" spans="50:97" x14ac:dyDescent="0.15">
      <c r="AX70" s="20"/>
      <c r="AY70" s="25"/>
      <c r="AZ70" s="25"/>
      <c r="BA70" s="25"/>
      <c r="BB70" s="25"/>
      <c r="BC70" s="25"/>
      <c r="CN70" s="25"/>
      <c r="CO70" s="32"/>
      <c r="CP70" s="28"/>
      <c r="CQ70" s="22"/>
      <c r="CR70" s="26"/>
      <c r="CS70" s="26"/>
    </row>
    <row r="71" spans="50:97" x14ac:dyDescent="0.15">
      <c r="AX71" s="25"/>
      <c r="AY71" s="27"/>
      <c r="AZ71" s="22"/>
      <c r="BA71" s="27"/>
      <c r="BB71" s="26"/>
      <c r="BC71" s="26"/>
    </row>
    <row r="72" spans="50:97" x14ac:dyDescent="0.15">
      <c r="AX72" s="25"/>
      <c r="AY72" s="27"/>
      <c r="AZ72" s="22"/>
      <c r="BA72" s="27"/>
      <c r="BB72" s="26"/>
      <c r="BC72" s="26"/>
    </row>
    <row r="73" spans="50:97" x14ac:dyDescent="0.15">
      <c r="AX73" s="25"/>
      <c r="AY73" s="27"/>
      <c r="AZ73" s="22"/>
      <c r="BA73" s="27"/>
      <c r="BB73" s="26"/>
      <c r="BC73" s="26"/>
    </row>
    <row r="74" spans="50:97" x14ac:dyDescent="0.15">
      <c r="AX74" s="6"/>
      <c r="AY74" s="6"/>
      <c r="AZ74" s="6"/>
      <c r="BA74" s="22"/>
      <c r="BB74" s="6"/>
      <c r="BC74" s="6"/>
    </row>
    <row r="75" spans="50:97" x14ac:dyDescent="0.15">
      <c r="AX75" s="6"/>
      <c r="AY75" s="6"/>
      <c r="AZ75" s="6"/>
      <c r="BA75" s="22"/>
      <c r="BB75" s="6"/>
      <c r="BC75" s="6"/>
    </row>
    <row r="76" spans="50:97" x14ac:dyDescent="0.15">
      <c r="AX76" s="6"/>
      <c r="AY76" s="6"/>
      <c r="AZ76" s="6"/>
      <c r="BA76" s="22"/>
      <c r="BB76" s="6"/>
      <c r="BC76" s="6"/>
    </row>
    <row r="77" spans="50:97" x14ac:dyDescent="0.15">
      <c r="AX77" s="13"/>
      <c r="AY77" s="10"/>
      <c r="AZ77" s="11"/>
      <c r="BA77" s="12"/>
      <c r="BB77" s="11"/>
      <c r="BC77" s="11"/>
    </row>
    <row r="78" spans="50:97" x14ac:dyDescent="0.15">
      <c r="AX78" s="21"/>
      <c r="AY78" s="20"/>
      <c r="AZ78" s="11"/>
      <c r="BA78" s="12"/>
      <c r="BB78" s="11"/>
      <c r="BC78" s="11"/>
    </row>
    <row r="79" spans="50:97" x14ac:dyDescent="0.15">
      <c r="AX79" s="21"/>
      <c r="AY79" s="23"/>
      <c r="AZ79" s="6"/>
      <c r="BA79" s="22"/>
      <c r="BB79" s="6"/>
      <c r="BC79" s="6"/>
    </row>
    <row r="80" spans="50:97" x14ac:dyDescent="0.15">
      <c r="AX80" s="21"/>
      <c r="AY80" s="23"/>
      <c r="AZ80" s="6"/>
      <c r="BA80" s="22"/>
      <c r="BB80" s="6"/>
      <c r="BC80" s="6"/>
    </row>
    <row r="81" spans="50:55" x14ac:dyDescent="0.15">
      <c r="AX81" s="21"/>
      <c r="AY81" s="20"/>
      <c r="AZ81" s="6"/>
      <c r="BA81" s="22"/>
      <c r="BB81" s="6"/>
      <c r="BC81" s="6"/>
    </row>
    <row r="82" spans="50:55" x14ac:dyDescent="0.15">
      <c r="AX82" s="6"/>
      <c r="AY82" s="6"/>
      <c r="AZ82" s="6"/>
      <c r="BA82" s="22"/>
      <c r="BB82" s="6"/>
      <c r="BC82" s="6"/>
    </row>
    <row r="83" spans="50:55" x14ac:dyDescent="0.15">
      <c r="AX83" s="20"/>
      <c r="AY83" s="29"/>
      <c r="AZ83" s="28"/>
      <c r="BA83" s="28"/>
      <c r="BB83" s="28"/>
      <c r="BC83" s="28"/>
    </row>
    <row r="84" spans="50:55" x14ac:dyDescent="0.15">
      <c r="AX84" s="20"/>
      <c r="AY84" s="29"/>
      <c r="AZ84" s="25"/>
      <c r="BA84" s="28"/>
      <c r="BB84" s="25"/>
      <c r="BC84" s="25"/>
    </row>
    <row r="85" spans="50:55" x14ac:dyDescent="0.15">
      <c r="AX85" s="25"/>
      <c r="AY85" s="32"/>
      <c r="AZ85" s="28"/>
      <c r="BA85" s="22"/>
      <c r="BB85" s="26"/>
      <c r="BC85" s="26"/>
    </row>
    <row r="86" spans="50:55" x14ac:dyDescent="0.15">
      <c r="AX86" s="25"/>
      <c r="AY86" s="32"/>
      <c r="AZ86" s="28"/>
      <c r="BA86" s="22"/>
      <c r="BB86" s="26"/>
      <c r="BC86" s="26"/>
    </row>
    <row r="87" spans="50:55" x14ac:dyDescent="0.15">
      <c r="AX87" s="25"/>
      <c r="AY87" s="32"/>
      <c r="AZ87" s="28"/>
      <c r="BA87" s="22"/>
      <c r="BB87" s="26"/>
      <c r="BC87" s="26"/>
    </row>
    <row r="88" spans="50:55" x14ac:dyDescent="0.15">
      <c r="AX88" s="25"/>
      <c r="AY88" s="32"/>
      <c r="AZ88" s="28"/>
      <c r="BA88" s="22"/>
      <c r="BB88" s="26"/>
      <c r="BC88" s="26"/>
    </row>
    <row r="89" spans="50:55" x14ac:dyDescent="0.15">
      <c r="AX89" s="25"/>
      <c r="AY89" s="32"/>
      <c r="AZ89" s="28"/>
      <c r="BA89" s="22"/>
      <c r="BB89" s="26"/>
      <c r="BC89" s="26"/>
    </row>
    <row r="90" spans="50:55" x14ac:dyDescent="0.15">
      <c r="AX90" s="25"/>
      <c r="AY90" s="32"/>
      <c r="AZ90" s="28"/>
      <c r="BA90" s="22"/>
      <c r="BB90" s="26"/>
      <c r="BC90" s="26"/>
    </row>
    <row r="91" spans="50:55" x14ac:dyDescent="0.15">
      <c r="AX91" s="25"/>
      <c r="AY91" s="32"/>
      <c r="AZ91" s="28"/>
      <c r="BA91" s="22"/>
      <c r="BB91" s="26"/>
      <c r="BC91" s="26"/>
    </row>
    <row r="92" spans="50:55" x14ac:dyDescent="0.15">
      <c r="AX92" s="25"/>
      <c r="AY92" s="32"/>
      <c r="AZ92" s="28"/>
      <c r="BA92" s="22"/>
      <c r="BB92" s="26"/>
      <c r="BC92" s="26"/>
    </row>
    <row r="93" spans="50:55" x14ac:dyDescent="0.15">
      <c r="AX93" s="25"/>
      <c r="AY93" s="32"/>
      <c r="AZ93" s="28"/>
      <c r="BA93" s="22"/>
      <c r="BB93" s="26"/>
      <c r="BC93" s="26"/>
    </row>
  </sheetData>
  <phoneticPr fontId="14" type="noConversion"/>
  <pageMargins left="0.7" right="0.7" top="0.75" bottom="0.75" header="0.3" footer="0.3"/>
  <pageSetup paperSize="9" orientation="portrait" r:id="rId11"/>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J6" sqref="J6"/>
    </sheetView>
  </sheetViews>
  <sheetFormatPr defaultColWidth="9.125" defaultRowHeight="12" x14ac:dyDescent="0.15"/>
  <cols>
    <col min="1" max="1" width="31.375" style="6" customWidth="1"/>
    <col min="2" max="2" width="14" style="6" bestFit="1" customWidth="1"/>
    <col min="3" max="3" width="23.5" style="6" customWidth="1"/>
    <col min="4" max="4" width="7.375" style="6" customWidth="1"/>
    <col min="5" max="5" width="5.25" style="6" customWidth="1"/>
    <col min="6" max="6" width="14" style="6" bestFit="1" customWidth="1"/>
    <col min="7" max="7" width="25.375" style="6" customWidth="1"/>
    <col min="8" max="8" width="35" style="6" customWidth="1"/>
    <col min="9" max="9" width="14.125" style="6" bestFit="1" customWidth="1"/>
    <col min="10" max="10" width="9.75" style="6" bestFit="1" customWidth="1"/>
    <col min="11" max="16384" width="9.125" style="6"/>
  </cols>
  <sheetData>
    <row r="1" spans="1:10" ht="13.5" x14ac:dyDescent="0.15">
      <c r="B1" s="37" t="s">
        <v>33</v>
      </c>
      <c r="C1"/>
      <c r="D1"/>
      <c r="E1"/>
      <c r="G1" s="37" t="s">
        <v>35</v>
      </c>
      <c r="H1" s="18" t="s" vm="1">
        <v>42</v>
      </c>
    </row>
    <row r="2" spans="1:10" ht="13.5" x14ac:dyDescent="0.15">
      <c r="B2" s="37" t="s">
        <v>38</v>
      </c>
      <c r="C2" s="37" t="s">
        <v>39</v>
      </c>
      <c r="D2" t="s">
        <v>32</v>
      </c>
      <c r="E2"/>
      <c r="H2"/>
    </row>
    <row r="3" spans="1:10" ht="13.5" x14ac:dyDescent="0.15">
      <c r="B3" s="18" t="s">
        <v>81</v>
      </c>
      <c r="C3" s="18" t="s">
        <v>82</v>
      </c>
      <c r="D3" s="46">
        <v>1</v>
      </c>
      <c r="E3"/>
      <c r="G3"/>
      <c r="H3"/>
      <c r="I3" s="37" t="s">
        <v>40</v>
      </c>
      <c r="J3"/>
    </row>
    <row r="4" spans="1:10" ht="13.5" x14ac:dyDescent="0.15">
      <c r="B4"/>
      <c r="C4" s="18" t="s">
        <v>83</v>
      </c>
      <c r="D4" s="46">
        <v>1</v>
      </c>
      <c r="E4"/>
      <c r="G4" s="37" t="s">
        <v>38</v>
      </c>
      <c r="H4" s="37" t="s">
        <v>41</v>
      </c>
      <c r="I4" s="18" t="s">
        <v>87</v>
      </c>
      <c r="J4" s="18" t="s">
        <v>88</v>
      </c>
    </row>
    <row r="5" spans="1:10" ht="13.5" x14ac:dyDescent="0.15">
      <c r="B5" s="18" t="s">
        <v>84</v>
      </c>
      <c r="C5" s="18" t="s">
        <v>82</v>
      </c>
      <c r="D5" s="46">
        <v>1</v>
      </c>
      <c r="E5"/>
      <c r="G5" s="18" t="s">
        <v>81</v>
      </c>
      <c r="H5" s="18" t="s">
        <v>89</v>
      </c>
      <c r="I5" s="46">
        <v>74</v>
      </c>
      <c r="J5" s="46"/>
    </row>
    <row r="6" spans="1:10" ht="13.5" x14ac:dyDescent="0.15">
      <c r="B6"/>
      <c r="C6" s="18" t="s">
        <v>83</v>
      </c>
      <c r="D6" s="46">
        <v>1</v>
      </c>
      <c r="E6"/>
      <c r="G6"/>
      <c r="H6" s="18" t="s">
        <v>90</v>
      </c>
      <c r="I6" s="46">
        <v>32</v>
      </c>
      <c r="J6" s="46"/>
    </row>
    <row r="7" spans="1:10" ht="13.5" x14ac:dyDescent="0.15">
      <c r="B7" s="18" t="s">
        <v>85</v>
      </c>
      <c r="C7" s="18" t="s">
        <v>82</v>
      </c>
      <c r="D7" s="46">
        <v>1</v>
      </c>
      <c r="G7"/>
      <c r="H7" s="18" t="s">
        <v>91</v>
      </c>
      <c r="I7" s="46">
        <v>3989</v>
      </c>
      <c r="J7" s="46"/>
    </row>
    <row r="8" spans="1:10" ht="13.5" x14ac:dyDescent="0.15">
      <c r="A8"/>
      <c r="B8"/>
      <c r="C8" s="18" t="s">
        <v>83</v>
      </c>
      <c r="D8" s="46">
        <v>1</v>
      </c>
      <c r="G8" s="18" t="s">
        <v>84</v>
      </c>
      <c r="H8" s="18" t="s">
        <v>92</v>
      </c>
      <c r="I8" s="46">
        <v>16641</v>
      </c>
      <c r="J8" s="46"/>
    </row>
    <row r="9" spans="1:10" ht="13.5" x14ac:dyDescent="0.15">
      <c r="A9"/>
      <c r="B9" s="18" t="s">
        <v>86</v>
      </c>
      <c r="C9"/>
      <c r="D9" s="46">
        <v>2</v>
      </c>
      <c r="G9" s="18" t="s">
        <v>85</v>
      </c>
      <c r="H9" s="18" t="s">
        <v>93</v>
      </c>
      <c r="I9" s="46">
        <v>6333</v>
      </c>
      <c r="J9" s="46"/>
    </row>
    <row r="10" spans="1:10" ht="13.5" x14ac:dyDescent="0.15">
      <c r="A10"/>
      <c r="B10"/>
      <c r="C10"/>
      <c r="D10"/>
      <c r="G10"/>
      <c r="H10"/>
      <c r="I10"/>
      <c r="J10"/>
    </row>
    <row r="11" spans="1:10" ht="13.5" x14ac:dyDescent="0.15">
      <c r="A11"/>
      <c r="B11"/>
      <c r="C11"/>
      <c r="D11"/>
    </row>
    <row r="12" spans="1:10" ht="13.5" x14ac:dyDescent="0.15">
      <c r="A12"/>
      <c r="B12"/>
      <c r="C12"/>
      <c r="D12"/>
    </row>
    <row r="13" spans="1:10" ht="13.5" x14ac:dyDescent="0.15">
      <c r="A13"/>
      <c r="B13"/>
      <c r="C13"/>
      <c r="D13"/>
    </row>
    <row r="14" spans="1:10" ht="13.5" x14ac:dyDescent="0.15">
      <c r="A14"/>
      <c r="B14"/>
      <c r="C14"/>
      <c r="D14"/>
    </row>
    <row r="15" spans="1:10" ht="13.5" x14ac:dyDescent="0.15">
      <c r="A15"/>
      <c r="B15"/>
      <c r="C15"/>
    </row>
    <row r="16" spans="1:10" ht="13.5" x14ac:dyDescent="0.15">
      <c r="A16"/>
      <c r="B16"/>
      <c r="C16"/>
    </row>
    <row r="17" spans="1:3" ht="13.5" x14ac:dyDescent="0.15">
      <c r="A17"/>
      <c r="B17"/>
      <c r="C17"/>
    </row>
    <row r="18" spans="1:3" ht="13.5" x14ac:dyDescent="0.15">
      <c r="A18"/>
      <c r="B18"/>
      <c r="C18"/>
    </row>
    <row r="19" spans="1:3" ht="13.5" x14ac:dyDescent="0.15">
      <c r="A19"/>
      <c r="B19"/>
      <c r="C19"/>
    </row>
    <row r="20" spans="1:3" ht="13.5" x14ac:dyDescent="0.15">
      <c r="A20"/>
      <c r="B20"/>
      <c r="C20"/>
    </row>
    <row r="21" spans="1:3" ht="13.5" x14ac:dyDescent="0.15">
      <c r="A21"/>
      <c r="B21"/>
      <c r="C21"/>
    </row>
    <row r="22" spans="1:3" ht="13.5" x14ac:dyDescent="0.15">
      <c r="A22"/>
      <c r="B22"/>
      <c r="C22"/>
    </row>
    <row r="23" spans="1:3" ht="13.5" x14ac:dyDescent="0.15">
      <c r="A23"/>
      <c r="B23"/>
      <c r="C23"/>
    </row>
    <row r="24" spans="1:3" ht="13.5" x14ac:dyDescent="0.15">
      <c r="A24"/>
      <c r="B24"/>
      <c r="C24"/>
    </row>
  </sheetData>
  <phoneticPr fontId="14"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50550499-a9c0-4533-a5b3-9baad7bc1858" xsi:nil="true"/>
    <UpdateLoanBalanceOfDate xmlns="50550499-a9c0-4533-a5b3-9baad7bc1858" xsi:nil="true"/>
    <PoolCutPageURL xmlns="50550499-a9c0-4533-a5b3-9baad7bc1858">
      <Url>https://poolcutsp/Pages/PoolProcess.aspx?poolId=239</Url>
      <Description>资产切割</Description>
    </PoolCutPageURL>
    <PoolSource xmlns="50550499-a9c0-4533-a5b3-9baad7bc1858">238</PoolSource>
    <PoolUpdateType xmlns="50550499-a9c0-4533-a5b3-9baad7bc1858">PoolTargetChild</PoolUpdateType>
    <PoolDescription xmlns="50550499-a9c0-4533-a5b3-9baad7bc1858">PoolTargetChild_2_20150903_239</PoolDescription>
    <PoolIdentification xmlns="50550499-a9c0-4533-a5b3-9baad7bc1858" xsi:nil="true"/>
    <PoolName xmlns="50550499-a9c0-4533-a5b3-9baad7bc1858">PoolTargetChild_2_20150903_239</PoolName>
    <PoolUpdateBy xmlns="50550499-a9c0-4533-a5b3-9baad7bc1858" xsi:nil="true"/>
    <BasePoolAsOfDate xmlns="50550499-a9c0-4533-a5b3-9baad7bc1858">2015-09-03</BasePoolAsOfDate>
    <PoolID xmlns="50550499-a9c0-4533-a5b3-9baad7bc1858">239</PoolID>
    <PoolLoanType xmlns="50550499-a9c0-4533-a5b3-9baad7bc1858">OnlyUnsold</PoolLoanType>
    <OverlapPool xmlns="50550499-a9c0-4533-a5b3-9baad7bc1858">true</OverlapPool>
    <PoolLoanValue xmlns="50550499-a9c0-4533-a5b3-9baad7bc1858">¥44,998,468.28</PoolLoanValue>
    <RefreshAsOfDate xmlns="50550499-a9c0-4533-a5b3-9baad7bc1858" xsi:nil="true"/>
    <PoolGroup xmlns="50550499-a9c0-4533-a5b3-9baad7bc1858">PoolTargetChild_2_20150903_239</PoolGroup>
    <PoolReport xmlns="50550499-a9c0-4533-a5b3-9baad7bc1858">
      <Url>https://poolcutsp/PoolCutCenter/Job_2_20150903_237/PoolTargetChild_2_20150903_239.xlsm</Url>
      <Description>报表</Description>
    </PoolReport>
    <PoolHierarchyName xmlns="50550499-a9c0-4533-a5b3-9baad7bc1858">    PoolTargetChild_2_20150903_239</PoolHierarchyName>
    <PoolLoanCount xmlns="50550499-a9c0-4533-a5b3-9baad7bc1858">42942</PoolLoanCount>
    <OrderBySequence xmlns="50550499-a9c0-4533-a5b3-9baad7bc1858">237.238.239</OrderBySequence>
    <PoolHierarchy xmlns="50550499-a9c0-4533-a5b3-9baad7bc1858">Child</PoolHierarchy>
    <PoolTargetTrust xmlns="50550499-a9c0-4533-a5b3-9baad7bc1858" xsi:nil="true"/>
    <PoolOrganization xmlns="50550499-a9c0-4533-a5b3-9baad7bc1858">JD</PoolOrganization>
    <PoolStatus xmlns="50550499-a9c0-4533-a5b3-9baad7bc1858">OPEN</PoolStatus>
    <PoolSourceHierarchy xmlns="50550499-a9c0-4533-a5b3-9baad7bc1858">PoolTargetParent</PoolSourceHierarchy>
    <ScenarioCriteriaSetId xmlns="50550499-a9c0-4533-a5b3-9baad7bc1858">2</ScenarioCriteriaSetId>
    <WFData xmlns="50550499-a9c0-4533-a5b3-9baad7bc1858" xsi:nil="true"/>
    <PoolHierarchyType xmlns="50550499-a9c0-4533-a5b3-9baad7bc1858" xsi:nil="true"/>
    <WFStatus xmlns="50550499-a9c0-4533-a5b3-9baad7bc1858" xsi:nil="true"/>
    <CashflowModel xmlns="50550499-a9c0-4533-a5b3-9baad7bc1858">
      <Url xsi:nil="true"/>
      <Description xsi:nil="true"/>
    </CashflowModel>
    <RegisterationForm xmlns="50550499-a9c0-4533-a5b3-9baad7bc1858">
      <Url xsi:nil="true"/>
      <Description xsi:nil="true"/>
    </RegisterationForm>
    <InformationMemorandum xmlns="50550499-a9c0-4533-a5b3-9baad7bc1858">
      <Url xsi:nil="true"/>
      <Description xsi:nil="true"/>
    </InformationMemorandum>
  </documentManagement>
</p:properties>
</file>

<file path=customXml/item2.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DE4972AC68C91E45BF7A4B059A281FB8" ma:contentTypeVersion="2" ma:contentTypeDescription="Pool Information" ma:contentTypeScope="" ma:versionID="e621f4a290ee4e35d5388c8350837960">
  <xsd:schema xmlns:xsd="http://www.w3.org/2001/XMLSchema" xmlns:xs="http://www.w3.org/2001/XMLSchema" xmlns:p="http://schemas.microsoft.com/office/2006/metadata/properties" xmlns:ns2="50550499-a9c0-4533-a5b3-9baad7bc1858" targetNamespace="http://schemas.microsoft.com/office/2006/metadata/properties" ma:root="true" ma:fieldsID="ce8884572776081ebc55ab2361bca8dc" ns2:_="">
    <xsd:import namespace="50550499-a9c0-4533-a5b3-9baad7bc1858"/>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550499-a9c0-4533-a5b3-9baad7bc1858"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50550499-a9c0-4533-a5b3-9baad7bc1858"/>
  </ds:schemaRefs>
</ds:datastoreItem>
</file>

<file path=customXml/itemProps2.xml><?xml version="1.0" encoding="utf-8"?>
<ds:datastoreItem xmlns:ds="http://schemas.openxmlformats.org/officeDocument/2006/customXml" ds:itemID="{F688EAD9-E98A-436E-8F9D-B6FC6278D6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550499-a9c0-4533-a5b3-9baad7bc18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98D0127-0FE2-44A6-B60F-F2F05047A3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supdev</cp:lastModifiedBy>
  <dcterms:created xsi:type="dcterms:W3CDTF">2012-09-25T04:11:30Z</dcterms:created>
  <dcterms:modified xsi:type="dcterms:W3CDTF">2016-04-05T05:59:24Z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0x01010065EA40C622BF4B54A501CF73C01717C900DE4972AC68C91E45BF7A4B059A281FB8</vt:lpwstr>
  </property>
  <property fmtid="{D5CDD505-2E9C-101B-9397-08002B2CF9AE}" pid="3" name="Order">
    <vt:r8>153000</vt:r8>
  </property>
</Properties>
</file>