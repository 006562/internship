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C:\Users\gslocaladmin\Desktop\"/>
    </mc:Choice>
  </mc:AlternateContent>
  <bookViews>
    <workbookView xWindow="1176" yWindow="420" windowWidth="19320" windowHeight="9576" tabRatio="813" activeTab="3"/>
  </bookViews>
  <sheets>
    <sheet name="Index" sheetId="18" r:id="rId1"/>
    <sheet name="PoolStatistics" sheetId="12" r:id="rId2"/>
    <sheet name="Distributions" sheetId="15" r:id="rId3"/>
    <sheet name="Reports" sheetId="2" r:id="rId4"/>
  </sheets>
  <definedNames>
    <definedName name="Slicer_Pool">#N/A</definedName>
  </definedNames>
  <calcPr calcId="145621"/>
  <pivotCaches>
    <pivotCache cacheId="955" r:id="rId5"/>
    <pivotCache cacheId="958" r:id="rId6"/>
    <pivotCache cacheId="961" r:id="rId7"/>
    <pivotCache cacheId="964" r:id="rId8"/>
    <pivotCache cacheId="967" r:id="rId9"/>
    <pivotCache cacheId="970" r:id="rId10"/>
    <pivotCache cacheId="974" r:id="rId11"/>
    <pivotCache cacheId="977" r:id="rId12"/>
    <pivotCache cacheId="980" r:id="rId13"/>
    <pivotCache cacheId="983" r:id="rId14"/>
    <pivotCache cacheId="986" r:id="rId15"/>
    <pivotCache cacheId="989" r:id="rId16"/>
    <pivotCache cacheId="992" r:id="rId17"/>
  </pivotCaches>
  <extLst>
    <ext xmlns:x14="http://schemas.microsoft.com/office/spreadsheetml/2009/9/main" uri="{876F7934-8845-4945-9796-88D515C7AA90}">
      <x14:pivotCaches>
        <pivotCache cacheId="973" r:id="rId18"/>
      </x14:pivotCaches>
    </ext>
    <ext xmlns:x14="http://schemas.microsoft.com/office/spreadsheetml/2009/9/main" uri="{BBE1A952-AA13-448e-AADC-164F8A28A991}">
      <x14:slicerCaches>
        <x14:slicerCache r:id="rId1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6;Integrated Security=SSPI;Persist Security Info=True;Initial Catalog=Job_2_20151102_10208;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4">
    <s v="PoolCut Base Pool Connection String"/>
    <s v="{[View Dim EC Pass].[EC Pass No].[All]}"/>
    <s v="{[View Dim EC Pass].[EC Pass No].&amp;[ECPass3]}"/>
    <s v="{[Pool].[Dim Pool ID].&amp;[10208]}"/>
  </metadataStrings>
  <mdxMetadata count="3">
    <mdx n="0" f="s">
      <ms ns="1" c="0"/>
    </mdx>
    <mdx n="0" f="s">
      <ms ns="2" c="0"/>
    </mdx>
    <mdx n="0" f="s">
      <ms ns="3" c="0"/>
    </mdx>
  </mdxMetadata>
  <valueMetadata count="3">
    <bk>
      <rc t="1" v="0"/>
    </bk>
    <bk>
      <rc t="1" v="1"/>
    </bk>
    <bk>
      <rc t="1" v="2"/>
    </bk>
  </valueMetadata>
</metadata>
</file>

<file path=xl/sharedStrings.xml><?xml version="1.0" encoding="utf-8"?>
<sst xmlns="http://schemas.openxmlformats.org/spreadsheetml/2006/main" count="268" uniqueCount="144">
  <si>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</si>
  <si>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</si>
  <si>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</si>
  <si>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</si>
  <si>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</si>
  <si>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</si>
  <si>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</si>
  <si>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</si>
  <si>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</si>
  <si>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</si>
  <si>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</si>
  <si>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</si>
  <si>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</si>
  <si>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</si>
  <si>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</si>
  <si>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</si>
  <si>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利率和本金余额分布</t>
  </si>
  <si>
    <t>利率分布</t>
  </si>
  <si>
    <t>ptDistInterest</t>
  </si>
  <si>
    <t>贷款本金余额分布</t>
  </si>
  <si>
    <t>贷款利率分布</t>
  </si>
  <si>
    <t>ptDistBalance</t>
  </si>
  <si>
    <t>本金余额分布</t>
  </si>
  <si>
    <t>其他贷款属性分布</t>
  </si>
  <si>
    <t>贷款五级分类</t>
  </si>
  <si>
    <t>ptDistFiveClass</t>
  </si>
  <si>
    <t>贷款地域分布</t>
  </si>
  <si>
    <t>ptDistBranch</t>
  </si>
  <si>
    <t>贷款行业分布</t>
  </si>
  <si>
    <t>ptDistCustomerSector</t>
  </si>
  <si>
    <t>担保方式分布</t>
  </si>
  <si>
    <t>ptDistGuarantee</t>
  </si>
  <si>
    <t>贷款担保分布</t>
  </si>
  <si>
    <t>贷款区域分布</t>
  </si>
  <si>
    <t>Total</t>
  </si>
  <si>
    <t>资产池日报表</t>
  </si>
  <si>
    <t>本金余额</t>
  </si>
  <si>
    <t>本金余额占比</t>
  </si>
  <si>
    <t>贷款笔数占比</t>
  </si>
  <si>
    <t> 保证-大型企业</t>
  </si>
  <si>
    <t> 抵押</t>
  </si>
  <si>
    <t> 抵押-其他商业房产抵押</t>
  </si>
  <si>
    <t> 抵押-商铺产权现房抵押</t>
  </si>
  <si>
    <t> 抵押-土地使用权</t>
  </si>
  <si>
    <t> 抵押-在建工程抵押</t>
  </si>
  <si>
    <t> 抵押-自建房抵押</t>
  </si>
  <si>
    <t> 质押-我行存单质押</t>
  </si>
  <si>
    <t>总数</t>
  </si>
  <si>
    <t> 六盘水分行</t>
  </si>
  <si>
    <t> 安顺分行</t>
  </si>
  <si>
    <t> 毕节分行</t>
  </si>
  <si>
    <t> 直属支行</t>
  </si>
  <si>
    <t> 贵阳管理部</t>
  </si>
  <si>
    <t> 遵义分行</t>
  </si>
  <si>
    <t> 铜仁分行</t>
  </si>
  <si>
    <t> 黔西南分行</t>
  </si>
  <si>
    <t>0（不含）- 0.1（含）亿</t>
  </si>
  <si>
    <t>0.1（不含）- 0.2（含）亿</t>
  </si>
  <si>
    <t>0.2（不含）- 0.3（含）亿</t>
  </si>
  <si>
    <t>0.3（不含）- 0.4（含）亿</t>
  </si>
  <si>
    <t>0.4（不含）- 0.5（含）亿</t>
  </si>
  <si>
    <t>0.5（不含）- 0.6（含）亿</t>
  </si>
  <si>
    <t>0.6（不含）- 0.7（含）亿</t>
  </si>
  <si>
    <t>0.7（不含）- 0.8（含）亿</t>
  </si>
  <si>
    <t>0.8（不含）- 0.9（含）亿</t>
  </si>
  <si>
    <t>0.9（不含）- 1（含）亿</t>
  </si>
  <si>
    <t>1.1（不含）- 1.2（含）亿</t>
  </si>
  <si>
    <t>1.9（不含）- 2（含）亿</t>
  </si>
  <si>
    <t>0-6 个月</t>
  </si>
  <si>
    <t>6-12 个月</t>
  </si>
  <si>
    <t>12-18 个月</t>
  </si>
  <si>
    <t>18-24 个月</t>
  </si>
  <si>
    <t>24-30 个月</t>
  </si>
  <si>
    <t>30-36 个月</t>
  </si>
  <si>
    <t>36-42 个月</t>
  </si>
  <si>
    <t>42-48 个月</t>
  </si>
  <si>
    <t>48-54 个月</t>
  </si>
  <si>
    <t>54-60 个月</t>
  </si>
  <si>
    <t>60-66 个月</t>
  </si>
  <si>
    <t>72-78 个月</t>
  </si>
  <si>
    <t>78-84 个月</t>
  </si>
  <si>
    <t>84-90 个月</t>
  </si>
  <si>
    <t>90-96 个月</t>
  </si>
  <si>
    <t>66-72 个月</t>
  </si>
  <si>
    <t>8.5（不含）% - 9（含）%</t>
  </si>
  <si>
    <t>9.5（不含）% - 10（含）%</t>
  </si>
  <si>
    <t>10.5（不含）% - 11（含）%</t>
  </si>
  <si>
    <t> 关注</t>
  </si>
  <si>
    <t> 可疑</t>
  </si>
  <si>
    <t> 正常</t>
  </si>
  <si>
    <t>All</t>
  </si>
  <si>
    <t>Dim Pool ID</t>
  </si>
  <si>
    <t>EC Pass No</t>
  </si>
  <si>
    <t>现金流归集报表</t>
  </si>
  <si>
    <t>评级机构资产池详细报表</t>
  </si>
  <si>
    <t>Grand Total</t>
  </si>
  <si>
    <t>筛选结果报表</t>
  </si>
  <si>
    <t>ptReportsALR</t>
  </si>
  <si>
    <t>资产池标识</t>
  </si>
  <si>
    <t>报表名称</t>
  </si>
  <si>
    <t>筛选条件报表</t>
  </si>
  <si>
    <t>筛选条件</t>
  </si>
  <si>
    <t>排除利率标准未符合的贷款</t>
  </si>
  <si>
    <t>K-房地产业</t>
  </si>
  <si>
    <t>R-文化、体育和娱乐业</t>
  </si>
  <si>
    <t>S-公共管理、社会保障和社会组织</t>
  </si>
  <si>
    <t>1.2（不含）- 1.3（含）亿</t>
  </si>
  <si>
    <t>1.3（不含）- 1.4（含）亿</t>
  </si>
  <si>
    <t>1.4（不含）- 1.5（含）亿</t>
  </si>
  <si>
    <t>1.7（不含）- 1.8（含）亿</t>
  </si>
  <si>
    <t> 抵押-商品房(住宅)产权房期房</t>
  </si>
  <si>
    <t>ECPass3</t>
  </si>
  <si>
    <t>合同总金额</t>
  </si>
  <si>
    <t>贷款笔数</t>
  </si>
  <si>
    <t>加权平均贷款年利率</t>
  </si>
  <si>
    <t>加权平均贷款合同期限</t>
  </si>
  <si>
    <t>加权平均贷款剩余期限</t>
  </si>
  <si>
    <t>加权平均贷款账龄</t>
  </si>
  <si>
    <t>借款金额最高的前五名借款人占比</t>
  </si>
  <si>
    <t>贷款最集中的前三个行业占比</t>
  </si>
  <si>
    <t>借款人地域分布个数</t>
  </si>
  <si>
    <t>借款人行业分布个数</t>
  </si>
  <si>
    <t>排除特殊的客户所属行业</t>
  </si>
  <si>
    <t>贷款相关</t>
  </si>
  <si>
    <t>客户相关</t>
  </si>
  <si>
    <t>102-108 个月</t>
  </si>
  <si>
    <t>114-120 个月</t>
  </si>
  <si>
    <t>10208</t>
  </si>
  <si>
    <t> 保证-中型企业</t>
  </si>
  <si>
    <t> 保证-其他保证</t>
  </si>
  <si>
    <t> 信用</t>
  </si>
  <si>
    <t> 抵押-写字楼(产权)现房抵押</t>
  </si>
  <si>
    <t> 抵押-商品房(住宅)产权房现房</t>
  </si>
  <si>
    <t> 质押-其他权利质押</t>
  </si>
  <si>
    <t> 质押-其他质押</t>
  </si>
  <si>
    <t>2.3（不含）- 2.4（含）亿</t>
  </si>
  <si>
    <t>2.4（不含）- 2.5（含）亿</t>
  </si>
  <si>
    <t>N-水利、环境和公共设施管理业</t>
  </si>
  <si>
    <t>O-居民服务、修理和其他服务业</t>
  </si>
  <si>
    <t>P-教育</t>
  </si>
  <si>
    <t>Q-卫生和社会工作</t>
  </si>
  <si>
    <t>资产池未偿本金余额总额</t>
  </si>
  <si>
    <t>平均本金余额</t>
  </si>
  <si>
    <t>平均合同金额</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</si>
</sst>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0.00\ %;\-#,##0.00\ %"/>
  </numFmts>
  <fonts count="14"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s>
  <fills count="3">
    <fill>
      <patternFill patternType="none"/>
    </fill>
    <fill>
      <patternFill patternType="gray125"/>
    </fill>
    <fill>
      <patternFill patternType="solid">
        <fgColor theme="8" tint="0.79998168889431442"/>
        <bgColor indexed="64"/>
      </patternFill>
    </fill>
  </fills>
  <borders count="1">
    <border>
      <left/>
      <right/>
      <top/>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50">
    <xf numFmtId="0" fontId="0" fillId="0" borderId="0" xfId="0"/>
    <xf numFmtId="0" fontId="0" fillId="0" borderId="0" xfId="0" applyAlignment="1">
      <alignment horizontal="center"/>
    </xf>
    <xf numFmtId="0" fontId="0" fillId="0" borderId="0" xfId="0"/>
    <xf numFmtId="0" fontId="2" fillId="0" borderId="0" xfId="0" applyFont="1"/>
    <xf numFmtId="165" fontId="0" fillId="0" borderId="0" xfId="0" applyNumberFormat="1" applyAlignment="1">
      <alignment horizontal="center"/>
    </xf>
    <xf numFmtId="3" fontId="0" fillId="0" borderId="0" xfId="0" applyNumberFormat="1" applyAlignment="1">
      <alignment horizontal="center"/>
    </xf>
    <xf numFmtId="0" fontId="4" fillId="0" borderId="0" xfId="0" applyFont="1"/>
    <xf numFmtId="0" fontId="6" fillId="0" borderId="0" xfId="0" applyFont="1"/>
    <xf numFmtId="3" fontId="4" fillId="0" borderId="0" xfId="0" applyNumberFormat="1" applyFont="1"/>
    <xf numFmtId="0" fontId="6" fillId="0" borderId="0" xfId="0" applyFont="1" applyFill="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left"/>
    </xf>
    <xf numFmtId="166" fontId="0" fillId="0" borderId="0" xfId="0" applyNumberFormat="1"/>
    <xf numFmtId="10" fontId="0" fillId="0" borderId="0" xfId="0" applyNumberFormat="1"/>
    <xf numFmtId="0" fontId="0" fillId="0" borderId="0" xfId="0" applyAlignment="1">
      <alignment horizontal="right"/>
    </xf>
    <xf numFmtId="0" fontId="0" fillId="0" borderId="0" xfId="0" applyNumberFormat="1"/>
    <xf numFmtId="167" fontId="0" fillId="0" borderId="0" xfId="0" applyNumberFormat="1"/>
    <xf numFmtId="2" fontId="0" fillId="0" borderId="0" xfId="0" applyNumberFormat="1"/>
    <xf numFmtId="0" fontId="0" fillId="0" borderId="0" xfId="0" applyNumberFormat="1" applyAlignment="1">
      <alignment horizontal="right"/>
    </xf>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50">
    <dxf>
      <numFmt numFmtId="166" formatCode="[$¥-804]#,##0.00"/>
    </dxf>
    <dxf>
      <numFmt numFmtId="166" formatCode="[$¥-804]#,##0.00"/>
    </dxf>
    <dxf>
      <numFmt numFmtId="166" formatCode="[$¥-804]#,##0.00"/>
    </dxf>
    <dxf>
      <numFmt numFmtId="2" formatCode="0.00"/>
    </dxf>
    <dxf>
      <numFmt numFmtId="2" formatCode="0.0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4.xml"/><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sheetMetadata" Target="metadata.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pivotCacheDefinition" Target="pivotCache/pivotCacheDefinition6.xml"/><Relationship Id="rId19"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styles" Target="styles.xml"/><Relationship Id="rId27"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[PoolBase_2_20151102_10208.xlsm]Distributions!ptDistContractTerm</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Distributions!$B$20</c:f>
              <c:strCache>
                <c:ptCount val="1"/>
                <c:pt idx="0">
                  <c:v>本金余额</c:v>
                </c:pt>
              </c:strCache>
            </c:strRef>
          </c:tx>
          <c:spPr>
            <a:solidFill>
              <a:schemeClr val="accent1"/>
            </a:solidFill>
            <a:ln>
              <a:noFill/>
            </a:ln>
            <a:effectLst/>
          </c:spPr>
          <c:invertIfNegative val="0"/>
          <c:cat>
            <c:strRef>
              <c:f>Distributions!$A$21:$A$34</c:f>
              <c:strCache>
                <c:ptCount val="13"/>
                <c:pt idx="0">
                  <c:v>6-12 个月</c:v>
                </c:pt>
                <c:pt idx="1">
                  <c:v>12-18 个月</c:v>
                </c:pt>
                <c:pt idx="2">
                  <c:v>18-24 个月</c:v>
                </c:pt>
                <c:pt idx="3">
                  <c:v>24-30 个月</c:v>
                </c:pt>
                <c:pt idx="4">
                  <c:v>30-36 个月</c:v>
                </c:pt>
                <c:pt idx="5">
                  <c:v>36-42 个月</c:v>
                </c:pt>
                <c:pt idx="6">
                  <c:v>42-48 个月</c:v>
                </c:pt>
                <c:pt idx="7">
                  <c:v>48-54 个月</c:v>
                </c:pt>
                <c:pt idx="8">
                  <c:v>54-60 个月</c:v>
                </c:pt>
                <c:pt idx="9">
                  <c:v>60-66 个月</c:v>
                </c:pt>
                <c:pt idx="10">
                  <c:v>90-96 个月</c:v>
                </c:pt>
                <c:pt idx="11">
                  <c:v>102-108 个月</c:v>
                </c:pt>
                <c:pt idx="12">
                  <c:v>114-120 个月</c:v>
                </c:pt>
              </c:strCache>
            </c:strRef>
          </c:cat>
          <c:val>
            <c:numRef>
              <c:f>Distributions!$B$21:$B$34</c:f>
              <c:numCache>
                <c:formatCode>[$¥-804]#,##0.00</c:formatCode>
                <c:ptCount val="13"/>
                <c:pt idx="0">
                  <c:v>307430000</c:v>
                </c:pt>
                <c:pt idx="1">
                  <c:v>39156000</c:v>
                </c:pt>
                <c:pt idx="2">
                  <c:v>535315000</c:v>
                </c:pt>
                <c:pt idx="3">
                  <c:v>146172079</c:v>
                </c:pt>
                <c:pt idx="4">
                  <c:v>2755440029</c:v>
                </c:pt>
                <c:pt idx="5">
                  <c:v>678740004</c:v>
                </c:pt>
                <c:pt idx="6">
                  <c:v>10000007</c:v>
                </c:pt>
                <c:pt idx="7">
                  <c:v>18000000</c:v>
                </c:pt>
                <c:pt idx="8">
                  <c:v>1570217100</c:v>
                </c:pt>
                <c:pt idx="9">
                  <c:v>27000000</c:v>
                </c:pt>
                <c:pt idx="10">
                  <c:v>294360000</c:v>
                </c:pt>
                <c:pt idx="11">
                  <c:v>26500000</c:v>
                </c:pt>
                <c:pt idx="12">
                  <c:v>16480000</c:v>
                </c:pt>
              </c:numCache>
            </c:numRef>
          </c:val>
        </c:ser>
        <c:ser>
          <c:idx val="1"/>
          <c:order val="1"/>
          <c:tx>
            <c:strRef>
              <c:f>Distributions!$C$20</c:f>
              <c:strCache>
                <c:ptCount val="1"/>
                <c:pt idx="0">
                  <c:v>本金余额占比</c:v>
                </c:pt>
              </c:strCache>
            </c:strRef>
          </c:tx>
          <c:spPr>
            <a:solidFill>
              <a:schemeClr val="accent2"/>
            </a:solidFill>
            <a:ln>
              <a:noFill/>
            </a:ln>
            <a:effectLst/>
          </c:spPr>
          <c:invertIfNegative val="0"/>
          <c:cat>
            <c:strRef>
              <c:f>Distributions!$A$21:$A$34</c:f>
              <c:strCache>
                <c:ptCount val="13"/>
                <c:pt idx="0">
                  <c:v>6-12 个月</c:v>
                </c:pt>
                <c:pt idx="1">
                  <c:v>12-18 个月</c:v>
                </c:pt>
                <c:pt idx="2">
                  <c:v>18-24 个月</c:v>
                </c:pt>
                <c:pt idx="3">
                  <c:v>24-30 个月</c:v>
                </c:pt>
                <c:pt idx="4">
                  <c:v>30-36 个月</c:v>
                </c:pt>
                <c:pt idx="5">
                  <c:v>36-42 个月</c:v>
                </c:pt>
                <c:pt idx="6">
                  <c:v>42-48 个月</c:v>
                </c:pt>
                <c:pt idx="7">
                  <c:v>48-54 个月</c:v>
                </c:pt>
                <c:pt idx="8">
                  <c:v>54-60 个月</c:v>
                </c:pt>
                <c:pt idx="9">
                  <c:v>60-66 个月</c:v>
                </c:pt>
                <c:pt idx="10">
                  <c:v>90-96 个月</c:v>
                </c:pt>
                <c:pt idx="11">
                  <c:v>102-108 个月</c:v>
                </c:pt>
                <c:pt idx="12">
                  <c:v>114-120 个月</c:v>
                </c:pt>
              </c:strCache>
            </c:strRef>
          </c:cat>
          <c:val>
            <c:numRef>
              <c:f>Distributions!$C$21:$C$34</c:f>
              <c:numCache>
                <c:formatCode>0.00%</c:formatCode>
                <c:ptCount val="13"/>
                <c:pt idx="0">
                  <c:v>4.7850440638828776E-2</c:v>
                </c:pt>
                <c:pt idx="1">
                  <c:v>6.0944990848452642E-3</c:v>
                </c:pt>
                <c:pt idx="2">
                  <c:v>8.331997082449541E-2</c:v>
                </c:pt>
                <c:pt idx="3">
                  <c:v>2.2751190154648829E-2</c:v>
                </c:pt>
                <c:pt idx="4">
                  <c:v>0.42887492938723332</c:v>
                </c:pt>
                <c:pt idx="5">
                  <c:v>0.10564358803825392</c:v>
                </c:pt>
                <c:pt idx="6">
                  <c:v>1.5564672977307751E-3</c:v>
                </c:pt>
                <c:pt idx="7">
                  <c:v>2.801639174767973E-3</c:v>
                </c:pt>
                <c:pt idx="8">
                  <c:v>0.24439898556947554</c:v>
                </c:pt>
                <c:pt idx="9">
                  <c:v>4.2024587621519597E-3</c:v>
                </c:pt>
                <c:pt idx="10">
                  <c:v>4.5816139304705586E-2</c:v>
                </c:pt>
                <c:pt idx="11">
                  <c:v>4.1246354517417384E-3</c:v>
                </c:pt>
                <c:pt idx="12">
                  <c:v>2.5650563111208999E-3</c:v>
                </c:pt>
              </c:numCache>
            </c:numRef>
          </c:val>
        </c:ser>
        <c:ser>
          <c:idx val="2"/>
          <c:order val="2"/>
          <c:tx>
            <c:strRef>
              <c:f>Distributions!$D$20</c:f>
              <c:strCache>
                <c:ptCount val="1"/>
                <c:pt idx="0">
                  <c:v>贷款笔数占比</c:v>
                </c:pt>
              </c:strCache>
            </c:strRef>
          </c:tx>
          <c:spPr>
            <a:solidFill>
              <a:schemeClr val="accent3"/>
            </a:solidFill>
            <a:ln>
              <a:noFill/>
            </a:ln>
            <a:effectLst/>
          </c:spPr>
          <c:invertIfNegative val="0"/>
          <c:cat>
            <c:strRef>
              <c:f>Distributions!$A$21:$A$34</c:f>
              <c:strCache>
                <c:ptCount val="13"/>
                <c:pt idx="0">
                  <c:v>6-12 个月</c:v>
                </c:pt>
                <c:pt idx="1">
                  <c:v>12-18 个月</c:v>
                </c:pt>
                <c:pt idx="2">
                  <c:v>18-24 个月</c:v>
                </c:pt>
                <c:pt idx="3">
                  <c:v>24-30 个月</c:v>
                </c:pt>
                <c:pt idx="4">
                  <c:v>30-36 个月</c:v>
                </c:pt>
                <c:pt idx="5">
                  <c:v>36-42 个月</c:v>
                </c:pt>
                <c:pt idx="6">
                  <c:v>42-48 个月</c:v>
                </c:pt>
                <c:pt idx="7">
                  <c:v>48-54 个月</c:v>
                </c:pt>
                <c:pt idx="8">
                  <c:v>54-60 个月</c:v>
                </c:pt>
                <c:pt idx="9">
                  <c:v>60-66 个月</c:v>
                </c:pt>
                <c:pt idx="10">
                  <c:v>90-96 个月</c:v>
                </c:pt>
                <c:pt idx="11">
                  <c:v>102-108 个月</c:v>
                </c:pt>
                <c:pt idx="12">
                  <c:v>114-120 个月</c:v>
                </c:pt>
              </c:strCache>
            </c:strRef>
          </c:cat>
          <c:val>
            <c:numRef>
              <c:f>Distributions!$D$21:$D$34</c:f>
              <c:numCache>
                <c:formatCode>General</c:formatCode>
                <c:ptCount val="13"/>
                <c:pt idx="0">
                  <c:v>8</c:v>
                </c:pt>
                <c:pt idx="1">
                  <c:v>4</c:v>
                </c:pt>
                <c:pt idx="2">
                  <c:v>21</c:v>
                </c:pt>
                <c:pt idx="3">
                  <c:v>15</c:v>
                </c:pt>
                <c:pt idx="4">
                  <c:v>82</c:v>
                </c:pt>
                <c:pt idx="5">
                  <c:v>16</c:v>
                </c:pt>
                <c:pt idx="6">
                  <c:v>8</c:v>
                </c:pt>
                <c:pt idx="7">
                  <c:v>2</c:v>
                </c:pt>
                <c:pt idx="8">
                  <c:v>31</c:v>
                </c:pt>
                <c:pt idx="9">
                  <c:v>4</c:v>
                </c:pt>
                <c:pt idx="10">
                  <c:v>11</c:v>
                </c:pt>
                <c:pt idx="11">
                  <c:v>1</c:v>
                </c:pt>
                <c:pt idx="12">
                  <c:v>3</c:v>
                </c:pt>
              </c:numCache>
            </c:numRef>
          </c:val>
        </c:ser>
        <c:ser>
          <c:idx val="3"/>
          <c:order val="3"/>
          <c:tx>
            <c:strRef>
              <c:f>Distributions!$E$20</c:f>
              <c:strCache>
                <c:ptCount val="1"/>
                <c:pt idx="0">
                  <c:v>贷款笔数占比</c:v>
                </c:pt>
              </c:strCache>
            </c:strRef>
          </c:tx>
          <c:spPr>
            <a:solidFill>
              <a:schemeClr val="accent4"/>
            </a:solidFill>
            <a:ln>
              <a:noFill/>
            </a:ln>
            <a:effectLst/>
          </c:spPr>
          <c:invertIfNegative val="0"/>
          <c:cat>
            <c:strRef>
              <c:f>Distributions!$A$21:$A$34</c:f>
              <c:strCache>
                <c:ptCount val="13"/>
                <c:pt idx="0">
                  <c:v>6-12 个月</c:v>
                </c:pt>
                <c:pt idx="1">
                  <c:v>12-18 个月</c:v>
                </c:pt>
                <c:pt idx="2">
                  <c:v>18-24 个月</c:v>
                </c:pt>
                <c:pt idx="3">
                  <c:v>24-30 个月</c:v>
                </c:pt>
                <c:pt idx="4">
                  <c:v>30-36 个月</c:v>
                </c:pt>
                <c:pt idx="5">
                  <c:v>36-42 个月</c:v>
                </c:pt>
                <c:pt idx="6">
                  <c:v>42-48 个月</c:v>
                </c:pt>
                <c:pt idx="7">
                  <c:v>48-54 个月</c:v>
                </c:pt>
                <c:pt idx="8">
                  <c:v>54-60 个月</c:v>
                </c:pt>
                <c:pt idx="9">
                  <c:v>60-66 个月</c:v>
                </c:pt>
                <c:pt idx="10">
                  <c:v>90-96 个月</c:v>
                </c:pt>
                <c:pt idx="11">
                  <c:v>102-108 个月</c:v>
                </c:pt>
                <c:pt idx="12">
                  <c:v>114-120 个月</c:v>
                </c:pt>
              </c:strCache>
            </c:strRef>
          </c:cat>
          <c:val>
            <c:numRef>
              <c:f>Distributions!$E$21:$E$34</c:f>
              <c:numCache>
                <c:formatCode>0.00%</c:formatCode>
                <c:ptCount val="13"/>
                <c:pt idx="0">
                  <c:v>3.8834951456310676E-2</c:v>
                </c:pt>
                <c:pt idx="1">
                  <c:v>1.9417475728155338E-2</c:v>
                </c:pt>
                <c:pt idx="2">
                  <c:v>0.10194174757281553</c:v>
                </c:pt>
                <c:pt idx="3">
                  <c:v>7.281553398058252E-2</c:v>
                </c:pt>
                <c:pt idx="4">
                  <c:v>0.39805825242718446</c:v>
                </c:pt>
                <c:pt idx="5">
                  <c:v>7.7669902912621352E-2</c:v>
                </c:pt>
                <c:pt idx="6">
                  <c:v>3.8834951456310676E-2</c:v>
                </c:pt>
                <c:pt idx="7">
                  <c:v>9.7087378640776691E-3</c:v>
                </c:pt>
                <c:pt idx="8">
                  <c:v>0.15048543689320387</c:v>
                </c:pt>
                <c:pt idx="9">
                  <c:v>1.9417475728155338E-2</c:v>
                </c:pt>
                <c:pt idx="10">
                  <c:v>5.3398058252427182E-2</c:v>
                </c:pt>
                <c:pt idx="11">
                  <c:v>4.8543689320388345E-3</c:v>
                </c:pt>
                <c:pt idx="12">
                  <c:v>1.4563106796116505E-2</c:v>
                </c:pt>
              </c:numCache>
            </c:numRef>
          </c:val>
        </c:ser>
        <c:dLbls>
          <c:showLegendKey val="0"/>
          <c:showVal val="0"/>
          <c:showCatName val="0"/>
          <c:showSerName val="0"/>
          <c:showPercent val="0"/>
          <c:showBubbleSize val="0"/>
        </c:dLbls>
        <c:gapWidth val="150"/>
        <c:axId val="-1596372592"/>
        <c:axId val="-1596373680"/>
      </c:barChart>
      <c:catAx>
        <c:axId val="-1596372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6373680"/>
        <c:crosses val="autoZero"/>
        <c:auto val="1"/>
        <c:lblAlgn val="ctr"/>
        <c:lblOffset val="100"/>
        <c:noMultiLvlLbl val="0"/>
      </c:catAx>
      <c:valAx>
        <c:axId val="-1596373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63725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[PoolBase_2_20151102_10208.xlsm]Distributions!ptDistSeasoning</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Distributions!$H$20</c:f>
              <c:strCache>
                <c:ptCount val="1"/>
                <c:pt idx="0">
                  <c:v>本金余额</c:v>
                </c:pt>
              </c:strCache>
            </c:strRef>
          </c:tx>
          <c:spPr>
            <a:solidFill>
              <a:schemeClr val="accent1"/>
            </a:solidFill>
            <a:ln>
              <a:noFill/>
            </a:ln>
            <a:effectLst/>
          </c:spPr>
          <c:invertIfNegative val="0"/>
          <c:cat>
            <c:strRef>
              <c:f>Distributions!$G$21:$G$34</c:f>
              <c:strCache>
                <c:ptCount val="13"/>
                <c:pt idx="0">
                  <c:v>0-6 个月</c:v>
                </c:pt>
                <c:pt idx="1">
                  <c:v>6-12 个月</c:v>
                </c:pt>
                <c:pt idx="2">
                  <c:v>12-18 个月</c:v>
                </c:pt>
                <c:pt idx="3">
                  <c:v>18-24 个月</c:v>
                </c:pt>
                <c:pt idx="4">
                  <c:v>24-30 个月</c:v>
                </c:pt>
                <c:pt idx="5">
                  <c:v>30-36 个月</c:v>
                </c:pt>
                <c:pt idx="6">
                  <c:v>36-42 个月</c:v>
                </c:pt>
                <c:pt idx="7">
                  <c:v>42-48 个月</c:v>
                </c:pt>
                <c:pt idx="8">
                  <c:v>48-54 个月</c:v>
                </c:pt>
                <c:pt idx="9">
                  <c:v>54-60 个月</c:v>
                </c:pt>
                <c:pt idx="10">
                  <c:v>66-72 个月</c:v>
                </c:pt>
                <c:pt idx="11">
                  <c:v>72-78 个月</c:v>
                </c:pt>
                <c:pt idx="12">
                  <c:v>78-84 个月</c:v>
                </c:pt>
              </c:strCache>
            </c:strRef>
          </c:cat>
          <c:val>
            <c:numRef>
              <c:f>Distributions!$H$21:$H$34</c:f>
              <c:numCache>
                <c:formatCode>[$¥-804]#,##0.00</c:formatCode>
                <c:ptCount val="13"/>
                <c:pt idx="0">
                  <c:v>409140000</c:v>
                </c:pt>
                <c:pt idx="1">
                  <c:v>1981708079</c:v>
                </c:pt>
                <c:pt idx="2">
                  <c:v>1067700003</c:v>
                </c:pt>
                <c:pt idx="3">
                  <c:v>1533000000</c:v>
                </c:pt>
                <c:pt idx="4">
                  <c:v>337175003</c:v>
                </c:pt>
                <c:pt idx="5">
                  <c:v>692590003</c:v>
                </c:pt>
                <c:pt idx="6">
                  <c:v>192100006</c:v>
                </c:pt>
                <c:pt idx="7">
                  <c:v>73000007</c:v>
                </c:pt>
                <c:pt idx="8">
                  <c:v>5946006</c:v>
                </c:pt>
                <c:pt idx="9">
                  <c:v>132451104</c:v>
                </c:pt>
                <c:pt idx="10">
                  <c:v>2</c:v>
                </c:pt>
                <c:pt idx="11">
                  <c:v>4</c:v>
                </c:pt>
                <c:pt idx="12">
                  <c:v>2</c:v>
                </c:pt>
              </c:numCache>
            </c:numRef>
          </c:val>
        </c:ser>
        <c:ser>
          <c:idx val="1"/>
          <c:order val="1"/>
          <c:tx>
            <c:strRef>
              <c:f>Distributions!$I$20</c:f>
              <c:strCache>
                <c:ptCount val="1"/>
                <c:pt idx="0">
                  <c:v>本金余额占比</c:v>
                </c:pt>
              </c:strCache>
            </c:strRef>
          </c:tx>
          <c:spPr>
            <a:solidFill>
              <a:schemeClr val="accent2"/>
            </a:solidFill>
            <a:ln>
              <a:noFill/>
            </a:ln>
            <a:effectLst/>
          </c:spPr>
          <c:invertIfNegative val="0"/>
          <c:cat>
            <c:strRef>
              <c:f>Distributions!$G$21:$G$34</c:f>
              <c:strCache>
                <c:ptCount val="13"/>
                <c:pt idx="0">
                  <c:v>0-6 个月</c:v>
                </c:pt>
                <c:pt idx="1">
                  <c:v>6-12 个月</c:v>
                </c:pt>
                <c:pt idx="2">
                  <c:v>12-18 个月</c:v>
                </c:pt>
                <c:pt idx="3">
                  <c:v>18-24 个月</c:v>
                </c:pt>
                <c:pt idx="4">
                  <c:v>24-30 个月</c:v>
                </c:pt>
                <c:pt idx="5">
                  <c:v>30-36 个月</c:v>
                </c:pt>
                <c:pt idx="6">
                  <c:v>36-42 个月</c:v>
                </c:pt>
                <c:pt idx="7">
                  <c:v>42-48 个月</c:v>
                </c:pt>
                <c:pt idx="8">
                  <c:v>48-54 个月</c:v>
                </c:pt>
                <c:pt idx="9">
                  <c:v>54-60 个月</c:v>
                </c:pt>
                <c:pt idx="10">
                  <c:v>66-72 个月</c:v>
                </c:pt>
                <c:pt idx="11">
                  <c:v>72-78 个月</c:v>
                </c:pt>
                <c:pt idx="12">
                  <c:v>78-84 个月</c:v>
                </c:pt>
              </c:strCache>
            </c:strRef>
          </c:cat>
          <c:val>
            <c:numRef>
              <c:f>Distributions!$I$21:$I$34</c:f>
              <c:numCache>
                <c:formatCode>0.00%</c:formatCode>
                <c:ptCount val="13"/>
                <c:pt idx="0">
                  <c:v>6.3681258442476033E-2</c:v>
                </c:pt>
                <c:pt idx="1">
                  <c:v>0.30844616594892138</c:v>
                </c:pt>
                <c:pt idx="2">
                  <c:v>0.1661838975169268</c:v>
                </c:pt>
                <c:pt idx="3">
                  <c:v>0.23860626971773904</c:v>
                </c:pt>
                <c:pt idx="4">
                  <c:v>5.2480149842072714E-2</c:v>
                </c:pt>
                <c:pt idx="5">
                  <c:v>0.10779929358097044</c:v>
                </c:pt>
                <c:pt idx="6">
                  <c:v>2.9899716793486814E-2</c:v>
                </c:pt>
                <c:pt idx="7">
                  <c:v>1.136220440941868E-2</c:v>
                </c:pt>
                <c:pt idx="8">
                  <c:v>9.2547574127807867E-4</c:v>
                </c:pt>
                <c:pt idx="9">
                  <c:v>2.0615566761537054E-2</c:v>
                </c:pt>
                <c:pt idx="10">
                  <c:v>3.1129324164088591E-10</c:v>
                </c:pt>
                <c:pt idx="11">
                  <c:v>6.2258648328177182E-10</c:v>
                </c:pt>
                <c:pt idx="12">
                  <c:v>3.1129324164088591E-10</c:v>
                </c:pt>
              </c:numCache>
            </c:numRef>
          </c:val>
        </c:ser>
        <c:ser>
          <c:idx val="2"/>
          <c:order val="2"/>
          <c:tx>
            <c:strRef>
              <c:f>Distributions!$J$20</c:f>
              <c:strCache>
                <c:ptCount val="1"/>
                <c:pt idx="0">
                  <c:v>贷款笔数占比</c:v>
                </c:pt>
              </c:strCache>
            </c:strRef>
          </c:tx>
          <c:spPr>
            <a:solidFill>
              <a:schemeClr val="accent3"/>
            </a:solidFill>
            <a:ln>
              <a:noFill/>
            </a:ln>
            <a:effectLst/>
          </c:spPr>
          <c:invertIfNegative val="0"/>
          <c:cat>
            <c:strRef>
              <c:f>Distributions!$G$21:$G$34</c:f>
              <c:strCache>
                <c:ptCount val="13"/>
                <c:pt idx="0">
                  <c:v>0-6 个月</c:v>
                </c:pt>
                <c:pt idx="1">
                  <c:v>6-12 个月</c:v>
                </c:pt>
                <c:pt idx="2">
                  <c:v>12-18 个月</c:v>
                </c:pt>
                <c:pt idx="3">
                  <c:v>18-24 个月</c:v>
                </c:pt>
                <c:pt idx="4">
                  <c:v>24-30 个月</c:v>
                </c:pt>
                <c:pt idx="5">
                  <c:v>30-36 个月</c:v>
                </c:pt>
                <c:pt idx="6">
                  <c:v>36-42 个月</c:v>
                </c:pt>
                <c:pt idx="7">
                  <c:v>42-48 个月</c:v>
                </c:pt>
                <c:pt idx="8">
                  <c:v>48-54 个月</c:v>
                </c:pt>
                <c:pt idx="9">
                  <c:v>54-60 个月</c:v>
                </c:pt>
                <c:pt idx="10">
                  <c:v>66-72 个月</c:v>
                </c:pt>
                <c:pt idx="11">
                  <c:v>72-78 个月</c:v>
                </c:pt>
                <c:pt idx="12">
                  <c:v>78-84 个月</c:v>
                </c:pt>
              </c:strCache>
            </c:strRef>
          </c:cat>
          <c:val>
            <c:numRef>
              <c:f>Distributions!$J$21:$J$34</c:f>
              <c:numCache>
                <c:formatCode>General</c:formatCode>
                <c:ptCount val="13"/>
                <c:pt idx="0">
                  <c:v>13</c:v>
                </c:pt>
                <c:pt idx="1">
                  <c:v>41</c:v>
                </c:pt>
                <c:pt idx="2">
                  <c:v>35</c:v>
                </c:pt>
                <c:pt idx="3">
                  <c:v>25</c:v>
                </c:pt>
                <c:pt idx="4">
                  <c:v>18</c:v>
                </c:pt>
                <c:pt idx="5">
                  <c:v>21</c:v>
                </c:pt>
                <c:pt idx="6">
                  <c:v>16</c:v>
                </c:pt>
                <c:pt idx="7">
                  <c:v>14</c:v>
                </c:pt>
                <c:pt idx="8">
                  <c:v>6</c:v>
                </c:pt>
                <c:pt idx="9">
                  <c:v>13</c:v>
                </c:pt>
                <c:pt idx="10">
                  <c:v>1</c:v>
                </c:pt>
                <c:pt idx="11">
                  <c:v>2</c:v>
                </c:pt>
                <c:pt idx="12">
                  <c:v>1</c:v>
                </c:pt>
              </c:numCache>
            </c:numRef>
          </c:val>
        </c:ser>
        <c:ser>
          <c:idx val="3"/>
          <c:order val="3"/>
          <c:tx>
            <c:strRef>
              <c:f>Distributions!$K$20</c:f>
              <c:strCache>
                <c:ptCount val="1"/>
                <c:pt idx="0">
                  <c:v>贷款笔数占比</c:v>
                </c:pt>
              </c:strCache>
            </c:strRef>
          </c:tx>
          <c:spPr>
            <a:solidFill>
              <a:schemeClr val="accent4"/>
            </a:solidFill>
            <a:ln>
              <a:noFill/>
            </a:ln>
            <a:effectLst/>
          </c:spPr>
          <c:invertIfNegative val="0"/>
          <c:cat>
            <c:strRef>
              <c:f>Distributions!$G$21:$G$34</c:f>
              <c:strCache>
                <c:ptCount val="13"/>
                <c:pt idx="0">
                  <c:v>0-6 个月</c:v>
                </c:pt>
                <c:pt idx="1">
                  <c:v>6-12 个月</c:v>
                </c:pt>
                <c:pt idx="2">
                  <c:v>12-18 个月</c:v>
                </c:pt>
                <c:pt idx="3">
                  <c:v>18-24 个月</c:v>
                </c:pt>
                <c:pt idx="4">
                  <c:v>24-30 个月</c:v>
                </c:pt>
                <c:pt idx="5">
                  <c:v>30-36 个月</c:v>
                </c:pt>
                <c:pt idx="6">
                  <c:v>36-42 个月</c:v>
                </c:pt>
                <c:pt idx="7">
                  <c:v>42-48 个月</c:v>
                </c:pt>
                <c:pt idx="8">
                  <c:v>48-54 个月</c:v>
                </c:pt>
                <c:pt idx="9">
                  <c:v>54-60 个月</c:v>
                </c:pt>
                <c:pt idx="10">
                  <c:v>66-72 个月</c:v>
                </c:pt>
                <c:pt idx="11">
                  <c:v>72-78 个月</c:v>
                </c:pt>
                <c:pt idx="12">
                  <c:v>78-84 个月</c:v>
                </c:pt>
              </c:strCache>
            </c:strRef>
          </c:cat>
          <c:val>
            <c:numRef>
              <c:f>Distributions!$K$21:$K$34</c:f>
              <c:numCache>
                <c:formatCode>0.00%</c:formatCode>
                <c:ptCount val="13"/>
                <c:pt idx="0">
                  <c:v>6.3106796116504854E-2</c:v>
                </c:pt>
                <c:pt idx="1">
                  <c:v>0.19902912621359223</c:v>
                </c:pt>
                <c:pt idx="2">
                  <c:v>0.16990291262135923</c:v>
                </c:pt>
                <c:pt idx="3">
                  <c:v>0.12135922330097088</c:v>
                </c:pt>
                <c:pt idx="4">
                  <c:v>8.7378640776699032E-2</c:v>
                </c:pt>
                <c:pt idx="5">
                  <c:v>0.10194174757281553</c:v>
                </c:pt>
                <c:pt idx="6">
                  <c:v>7.7669902912621352E-2</c:v>
                </c:pt>
                <c:pt idx="7">
                  <c:v>6.7961165048543687E-2</c:v>
                </c:pt>
                <c:pt idx="8">
                  <c:v>2.9126213592233011E-2</c:v>
                </c:pt>
                <c:pt idx="9">
                  <c:v>6.3106796116504854E-2</c:v>
                </c:pt>
                <c:pt idx="10">
                  <c:v>4.8543689320388345E-3</c:v>
                </c:pt>
                <c:pt idx="11">
                  <c:v>9.7087378640776691E-3</c:v>
                </c:pt>
                <c:pt idx="12">
                  <c:v>4.8543689320388345E-3</c:v>
                </c:pt>
              </c:numCache>
            </c:numRef>
          </c:val>
        </c:ser>
        <c:dLbls>
          <c:showLegendKey val="0"/>
          <c:showVal val="0"/>
          <c:showCatName val="0"/>
          <c:showSerName val="0"/>
          <c:showPercent val="0"/>
          <c:showBubbleSize val="0"/>
        </c:dLbls>
        <c:gapWidth val="150"/>
        <c:axId val="-1596372048"/>
        <c:axId val="-1596361168"/>
      </c:barChart>
      <c:catAx>
        <c:axId val="-1596372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6361168"/>
        <c:crosses val="autoZero"/>
        <c:auto val="1"/>
        <c:lblAlgn val="ctr"/>
        <c:lblOffset val="100"/>
        <c:noMultiLvlLbl val="0"/>
      </c:catAx>
      <c:valAx>
        <c:axId val="-15963611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63720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[PoolBase_2_20151102_10208.xlsm]Distributions!ptDistRemainingTerm</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Distributions!$N$20</c:f>
              <c:strCache>
                <c:ptCount val="1"/>
                <c:pt idx="0">
                  <c:v>本金余额</c:v>
                </c:pt>
              </c:strCache>
            </c:strRef>
          </c:tx>
          <c:spPr>
            <a:solidFill>
              <a:schemeClr val="accent1"/>
            </a:solidFill>
            <a:ln>
              <a:noFill/>
            </a:ln>
            <a:effectLst/>
          </c:spPr>
          <c:invertIfNegative val="0"/>
          <c:cat>
            <c:strRef>
              <c:f>Distributions!$M$21:$M$32</c:f>
              <c:strCache>
                <c:ptCount val="11"/>
                <c:pt idx="0">
                  <c:v>0-6 个月</c:v>
                </c:pt>
                <c:pt idx="1">
                  <c:v>6-12 个月</c:v>
                </c:pt>
                <c:pt idx="2">
                  <c:v>12-18 个月</c:v>
                </c:pt>
                <c:pt idx="3">
                  <c:v>18-24 个月</c:v>
                </c:pt>
                <c:pt idx="4">
                  <c:v>24-30 个月</c:v>
                </c:pt>
                <c:pt idx="5">
                  <c:v>30-36 个月</c:v>
                </c:pt>
                <c:pt idx="6">
                  <c:v>36-42 个月</c:v>
                </c:pt>
                <c:pt idx="7">
                  <c:v>42-48 个月</c:v>
                </c:pt>
                <c:pt idx="8">
                  <c:v>48-54 个月</c:v>
                </c:pt>
                <c:pt idx="9">
                  <c:v>60-66 个月</c:v>
                </c:pt>
                <c:pt idx="10">
                  <c:v>84-90 个月</c:v>
                </c:pt>
              </c:strCache>
            </c:strRef>
          </c:cat>
          <c:val>
            <c:numRef>
              <c:f>Distributions!$N$21:$N$32</c:f>
              <c:numCache>
                <c:formatCode>[$¥-804]#,##0.00</c:formatCode>
                <c:ptCount val="11"/>
                <c:pt idx="0">
                  <c:v>1172062135</c:v>
                </c:pt>
                <c:pt idx="1">
                  <c:v>432556002</c:v>
                </c:pt>
                <c:pt idx="2">
                  <c:v>1377452078</c:v>
                </c:pt>
                <c:pt idx="3">
                  <c:v>863200003</c:v>
                </c:pt>
                <c:pt idx="4">
                  <c:v>873700001</c:v>
                </c:pt>
                <c:pt idx="5">
                  <c:v>40000000</c:v>
                </c:pt>
                <c:pt idx="6">
                  <c:v>538200000</c:v>
                </c:pt>
                <c:pt idx="7">
                  <c:v>389000000</c:v>
                </c:pt>
                <c:pt idx="8">
                  <c:v>522000000</c:v>
                </c:pt>
                <c:pt idx="9">
                  <c:v>48480000</c:v>
                </c:pt>
                <c:pt idx="10">
                  <c:v>168160000</c:v>
                </c:pt>
              </c:numCache>
            </c:numRef>
          </c:val>
        </c:ser>
        <c:ser>
          <c:idx val="1"/>
          <c:order val="1"/>
          <c:tx>
            <c:strRef>
              <c:f>Distributions!$O$20</c:f>
              <c:strCache>
                <c:ptCount val="1"/>
                <c:pt idx="0">
                  <c:v>本金余额占比</c:v>
                </c:pt>
              </c:strCache>
            </c:strRef>
          </c:tx>
          <c:spPr>
            <a:solidFill>
              <a:schemeClr val="accent2"/>
            </a:solidFill>
            <a:ln>
              <a:noFill/>
            </a:ln>
            <a:effectLst/>
          </c:spPr>
          <c:invertIfNegative val="0"/>
          <c:cat>
            <c:strRef>
              <c:f>Distributions!$M$21:$M$32</c:f>
              <c:strCache>
                <c:ptCount val="11"/>
                <c:pt idx="0">
                  <c:v>0-6 个月</c:v>
                </c:pt>
                <c:pt idx="1">
                  <c:v>6-12 个月</c:v>
                </c:pt>
                <c:pt idx="2">
                  <c:v>12-18 个月</c:v>
                </c:pt>
                <c:pt idx="3">
                  <c:v>18-24 个月</c:v>
                </c:pt>
                <c:pt idx="4">
                  <c:v>24-30 个月</c:v>
                </c:pt>
                <c:pt idx="5">
                  <c:v>30-36 个月</c:v>
                </c:pt>
                <c:pt idx="6">
                  <c:v>36-42 个月</c:v>
                </c:pt>
                <c:pt idx="7">
                  <c:v>42-48 个月</c:v>
                </c:pt>
                <c:pt idx="8">
                  <c:v>48-54 个月</c:v>
                </c:pt>
                <c:pt idx="9">
                  <c:v>60-66 个月</c:v>
                </c:pt>
                <c:pt idx="10">
                  <c:v>84-90 个月</c:v>
                </c:pt>
              </c:strCache>
            </c:strRef>
          </c:cat>
          <c:val>
            <c:numRef>
              <c:f>Distributions!$O$21:$O$32</c:f>
              <c:numCache>
                <c:formatCode>0.00%</c:formatCode>
                <c:ptCount val="11"/>
                <c:pt idx="0">
                  <c:v>0.18242751070434382</c:v>
                </c:pt>
                <c:pt idx="1">
                  <c:v>6.7325880026900764E-2</c:v>
                </c:pt>
                <c:pt idx="2">
                  <c:v>0.21439576128279719</c:v>
                </c:pt>
                <c:pt idx="3">
                  <c:v>0.1343541635591462</c:v>
                </c:pt>
                <c:pt idx="4">
                  <c:v>0.13598845276646762</c:v>
                </c:pt>
                <c:pt idx="5">
                  <c:v>6.2258648328177178E-3</c:v>
                </c:pt>
                <c:pt idx="6">
                  <c:v>8.3769011325562387E-2</c:v>
                </c:pt>
                <c:pt idx="7">
                  <c:v>6.0546535499152308E-2</c:v>
                </c:pt>
                <c:pt idx="8">
                  <c:v>8.1247536068271217E-2</c:v>
                </c:pt>
                <c:pt idx="9">
                  <c:v>7.5457481773750744E-3</c:v>
                </c:pt>
                <c:pt idx="10">
                  <c:v>2.6173535757165686E-2</c:v>
                </c:pt>
              </c:numCache>
            </c:numRef>
          </c:val>
        </c:ser>
        <c:ser>
          <c:idx val="2"/>
          <c:order val="2"/>
          <c:tx>
            <c:strRef>
              <c:f>Distributions!$P$20</c:f>
              <c:strCache>
                <c:ptCount val="1"/>
                <c:pt idx="0">
                  <c:v>贷款笔数占比</c:v>
                </c:pt>
              </c:strCache>
            </c:strRef>
          </c:tx>
          <c:spPr>
            <a:solidFill>
              <a:schemeClr val="accent3"/>
            </a:solidFill>
            <a:ln>
              <a:noFill/>
            </a:ln>
            <a:effectLst/>
          </c:spPr>
          <c:invertIfNegative val="0"/>
          <c:cat>
            <c:strRef>
              <c:f>Distributions!$M$21:$M$32</c:f>
              <c:strCache>
                <c:ptCount val="11"/>
                <c:pt idx="0">
                  <c:v>0-6 个月</c:v>
                </c:pt>
                <c:pt idx="1">
                  <c:v>6-12 个月</c:v>
                </c:pt>
                <c:pt idx="2">
                  <c:v>12-18 个月</c:v>
                </c:pt>
                <c:pt idx="3">
                  <c:v>18-24 个月</c:v>
                </c:pt>
                <c:pt idx="4">
                  <c:v>24-30 个月</c:v>
                </c:pt>
                <c:pt idx="5">
                  <c:v>30-36 个月</c:v>
                </c:pt>
                <c:pt idx="6">
                  <c:v>36-42 个月</c:v>
                </c:pt>
                <c:pt idx="7">
                  <c:v>42-48 个月</c:v>
                </c:pt>
                <c:pt idx="8">
                  <c:v>48-54 个月</c:v>
                </c:pt>
                <c:pt idx="9">
                  <c:v>60-66 个月</c:v>
                </c:pt>
                <c:pt idx="10">
                  <c:v>84-90 个月</c:v>
                </c:pt>
              </c:strCache>
            </c:strRef>
          </c:cat>
          <c:val>
            <c:numRef>
              <c:f>Distributions!$P$21:$P$32</c:f>
              <c:numCache>
                <c:formatCode>General</c:formatCode>
                <c:ptCount val="11"/>
                <c:pt idx="0">
                  <c:v>66</c:v>
                </c:pt>
                <c:pt idx="1">
                  <c:v>27</c:v>
                </c:pt>
                <c:pt idx="2">
                  <c:v>34</c:v>
                </c:pt>
                <c:pt idx="3">
                  <c:v>28</c:v>
                </c:pt>
                <c:pt idx="4">
                  <c:v>18</c:v>
                </c:pt>
                <c:pt idx="5">
                  <c:v>3</c:v>
                </c:pt>
                <c:pt idx="6">
                  <c:v>5</c:v>
                </c:pt>
                <c:pt idx="7">
                  <c:v>9</c:v>
                </c:pt>
                <c:pt idx="8">
                  <c:v>9</c:v>
                </c:pt>
                <c:pt idx="9">
                  <c:v>5</c:v>
                </c:pt>
                <c:pt idx="10">
                  <c:v>2</c:v>
                </c:pt>
              </c:numCache>
            </c:numRef>
          </c:val>
        </c:ser>
        <c:ser>
          <c:idx val="3"/>
          <c:order val="3"/>
          <c:tx>
            <c:strRef>
              <c:f>Distributions!$Q$20</c:f>
              <c:strCache>
                <c:ptCount val="1"/>
                <c:pt idx="0">
                  <c:v>贷款笔数占比</c:v>
                </c:pt>
              </c:strCache>
            </c:strRef>
          </c:tx>
          <c:spPr>
            <a:solidFill>
              <a:schemeClr val="accent4"/>
            </a:solidFill>
            <a:ln>
              <a:noFill/>
            </a:ln>
            <a:effectLst/>
          </c:spPr>
          <c:invertIfNegative val="0"/>
          <c:cat>
            <c:strRef>
              <c:f>Distributions!$M$21:$M$32</c:f>
              <c:strCache>
                <c:ptCount val="11"/>
                <c:pt idx="0">
                  <c:v>0-6 个月</c:v>
                </c:pt>
                <c:pt idx="1">
                  <c:v>6-12 个月</c:v>
                </c:pt>
                <c:pt idx="2">
                  <c:v>12-18 个月</c:v>
                </c:pt>
                <c:pt idx="3">
                  <c:v>18-24 个月</c:v>
                </c:pt>
                <c:pt idx="4">
                  <c:v>24-30 个月</c:v>
                </c:pt>
                <c:pt idx="5">
                  <c:v>30-36 个月</c:v>
                </c:pt>
                <c:pt idx="6">
                  <c:v>36-42 个月</c:v>
                </c:pt>
                <c:pt idx="7">
                  <c:v>42-48 个月</c:v>
                </c:pt>
                <c:pt idx="8">
                  <c:v>48-54 个月</c:v>
                </c:pt>
                <c:pt idx="9">
                  <c:v>60-66 个月</c:v>
                </c:pt>
                <c:pt idx="10">
                  <c:v>84-90 个月</c:v>
                </c:pt>
              </c:strCache>
            </c:strRef>
          </c:cat>
          <c:val>
            <c:numRef>
              <c:f>Distributions!$Q$21:$Q$32</c:f>
              <c:numCache>
                <c:formatCode>0.00%</c:formatCode>
                <c:ptCount val="11"/>
                <c:pt idx="0">
                  <c:v>0.32038834951456313</c:v>
                </c:pt>
                <c:pt idx="1">
                  <c:v>0.13106796116504854</c:v>
                </c:pt>
                <c:pt idx="2">
                  <c:v>0.1650485436893204</c:v>
                </c:pt>
                <c:pt idx="3">
                  <c:v>0.13592233009708737</c:v>
                </c:pt>
                <c:pt idx="4">
                  <c:v>8.7378640776699032E-2</c:v>
                </c:pt>
                <c:pt idx="5">
                  <c:v>1.4563106796116505E-2</c:v>
                </c:pt>
                <c:pt idx="6">
                  <c:v>2.4271844660194174E-2</c:v>
                </c:pt>
                <c:pt idx="7">
                  <c:v>4.3689320388349516E-2</c:v>
                </c:pt>
                <c:pt idx="8">
                  <c:v>4.3689320388349516E-2</c:v>
                </c:pt>
                <c:pt idx="9">
                  <c:v>2.4271844660194174E-2</c:v>
                </c:pt>
                <c:pt idx="10">
                  <c:v>9.7087378640776691E-3</c:v>
                </c:pt>
              </c:numCache>
            </c:numRef>
          </c:val>
        </c:ser>
        <c:dLbls>
          <c:showLegendKey val="0"/>
          <c:showVal val="0"/>
          <c:showCatName val="0"/>
          <c:showSerName val="0"/>
          <c:showPercent val="0"/>
          <c:showBubbleSize val="0"/>
        </c:dLbls>
        <c:gapWidth val="219"/>
        <c:overlap val="-27"/>
        <c:axId val="-1596368240"/>
        <c:axId val="-1596369328"/>
      </c:barChart>
      <c:catAx>
        <c:axId val="-1596368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6369328"/>
        <c:crosses val="autoZero"/>
        <c:auto val="1"/>
        <c:lblAlgn val="ctr"/>
        <c:lblOffset val="100"/>
        <c:noMultiLvlLbl val="0"/>
      </c:catAx>
      <c:valAx>
        <c:axId val="-15963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6368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[PoolBase_2_20151102_10208.xlsm]Distributions!ptDistInterest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Distributions!$T$20</c:f>
              <c:strCache>
                <c:ptCount val="1"/>
                <c:pt idx="0">
                  <c:v>本金余额</c:v>
                </c:pt>
              </c:strCache>
            </c:strRef>
          </c:tx>
          <c:spPr>
            <a:solidFill>
              <a:schemeClr val="accent1"/>
            </a:solidFill>
            <a:ln>
              <a:noFill/>
            </a:ln>
            <a:effectLst/>
          </c:spPr>
          <c:invertIfNegative val="0"/>
          <c:cat>
            <c:strRef>
              <c:f>Distributions!$S$21:$S$24</c:f>
              <c:strCache>
                <c:ptCount val="3"/>
                <c:pt idx="0">
                  <c:v>8.5（不含）% - 9（含）%</c:v>
                </c:pt>
                <c:pt idx="1">
                  <c:v>9.5（不含）% - 10（含）%</c:v>
                </c:pt>
                <c:pt idx="2">
                  <c:v>10.5（不含）% - 11（含）%</c:v>
                </c:pt>
              </c:strCache>
            </c:strRef>
          </c:cat>
          <c:val>
            <c:numRef>
              <c:f>Distributions!$T$21:$T$24</c:f>
              <c:numCache>
                <c:formatCode>[$¥-804]#,##0.00</c:formatCode>
                <c:ptCount val="3"/>
                <c:pt idx="0">
                  <c:v>3874291107</c:v>
                </c:pt>
                <c:pt idx="1">
                  <c:v>1415966011</c:v>
                </c:pt>
                <c:pt idx="2">
                  <c:v>1134553101</c:v>
                </c:pt>
              </c:numCache>
            </c:numRef>
          </c:val>
        </c:ser>
        <c:ser>
          <c:idx val="1"/>
          <c:order val="1"/>
          <c:tx>
            <c:strRef>
              <c:f>Distributions!$U$20</c:f>
              <c:strCache>
                <c:ptCount val="1"/>
                <c:pt idx="0">
                  <c:v>本金余额占比</c:v>
                </c:pt>
              </c:strCache>
            </c:strRef>
          </c:tx>
          <c:spPr>
            <a:solidFill>
              <a:schemeClr val="accent2"/>
            </a:solidFill>
            <a:ln>
              <a:noFill/>
            </a:ln>
            <a:effectLst/>
          </c:spPr>
          <c:invertIfNegative val="0"/>
          <c:cat>
            <c:strRef>
              <c:f>Distributions!$S$21:$S$24</c:f>
              <c:strCache>
                <c:ptCount val="3"/>
                <c:pt idx="0">
                  <c:v>8.5（不含）% - 9（含）%</c:v>
                </c:pt>
                <c:pt idx="1">
                  <c:v>9.5（不含）% - 10（含）%</c:v>
                </c:pt>
                <c:pt idx="2">
                  <c:v>10.5（不含）% - 11（含）%</c:v>
                </c:pt>
              </c:strCache>
            </c:strRef>
          </c:cat>
          <c:val>
            <c:numRef>
              <c:f>Distributions!$U$21:$U$24</c:f>
              <c:numCache>
                <c:formatCode>0.00%</c:formatCode>
                <c:ptCount val="3"/>
                <c:pt idx="0">
                  <c:v>0.60302031887924312</c:v>
                </c:pt>
                <c:pt idx="1">
                  <c:v>0.22039032480875215</c:v>
                </c:pt>
                <c:pt idx="2">
                  <c:v>0.1765893563120047</c:v>
                </c:pt>
              </c:numCache>
            </c:numRef>
          </c:val>
        </c:ser>
        <c:ser>
          <c:idx val="2"/>
          <c:order val="2"/>
          <c:tx>
            <c:strRef>
              <c:f>Distributions!$V$20</c:f>
              <c:strCache>
                <c:ptCount val="1"/>
                <c:pt idx="0">
                  <c:v>贷款笔数占比</c:v>
                </c:pt>
              </c:strCache>
            </c:strRef>
          </c:tx>
          <c:spPr>
            <a:solidFill>
              <a:schemeClr val="accent3"/>
            </a:solidFill>
            <a:ln>
              <a:noFill/>
            </a:ln>
            <a:effectLst/>
          </c:spPr>
          <c:invertIfNegative val="0"/>
          <c:cat>
            <c:strRef>
              <c:f>Distributions!$S$21:$S$24</c:f>
              <c:strCache>
                <c:ptCount val="3"/>
                <c:pt idx="0">
                  <c:v>8.5（不含）% - 9（含）%</c:v>
                </c:pt>
                <c:pt idx="1">
                  <c:v>9.5（不含）% - 10（含）%</c:v>
                </c:pt>
                <c:pt idx="2">
                  <c:v>10.5（不含）% - 11（含）%</c:v>
                </c:pt>
              </c:strCache>
            </c:strRef>
          </c:cat>
          <c:val>
            <c:numRef>
              <c:f>Distributions!$V$21:$V$24</c:f>
              <c:numCache>
                <c:formatCode>General</c:formatCode>
                <c:ptCount val="3"/>
                <c:pt idx="0">
                  <c:v>94</c:v>
                </c:pt>
                <c:pt idx="1">
                  <c:v>57</c:v>
                </c:pt>
                <c:pt idx="2">
                  <c:v>55</c:v>
                </c:pt>
              </c:numCache>
            </c:numRef>
          </c:val>
        </c:ser>
        <c:ser>
          <c:idx val="3"/>
          <c:order val="3"/>
          <c:tx>
            <c:strRef>
              <c:f>Distributions!$W$20</c:f>
              <c:strCache>
                <c:ptCount val="1"/>
                <c:pt idx="0">
                  <c:v>贷款笔数占比</c:v>
                </c:pt>
              </c:strCache>
            </c:strRef>
          </c:tx>
          <c:spPr>
            <a:solidFill>
              <a:schemeClr val="accent4"/>
            </a:solidFill>
            <a:ln>
              <a:noFill/>
            </a:ln>
            <a:effectLst/>
          </c:spPr>
          <c:invertIfNegative val="0"/>
          <c:cat>
            <c:strRef>
              <c:f>Distributions!$S$21:$S$24</c:f>
              <c:strCache>
                <c:ptCount val="3"/>
                <c:pt idx="0">
                  <c:v>8.5（不含）% - 9（含）%</c:v>
                </c:pt>
                <c:pt idx="1">
                  <c:v>9.5（不含）% - 10（含）%</c:v>
                </c:pt>
                <c:pt idx="2">
                  <c:v>10.5（不含）% - 11（含）%</c:v>
                </c:pt>
              </c:strCache>
            </c:strRef>
          </c:cat>
          <c:val>
            <c:numRef>
              <c:f>Distributions!$W$21:$W$24</c:f>
              <c:numCache>
                <c:formatCode>0.00%</c:formatCode>
                <c:ptCount val="3"/>
                <c:pt idx="0">
                  <c:v>0.4563106796116505</c:v>
                </c:pt>
                <c:pt idx="1">
                  <c:v>0.27669902912621358</c:v>
                </c:pt>
                <c:pt idx="2">
                  <c:v>0.26699029126213591</c:v>
                </c:pt>
              </c:numCache>
            </c:numRef>
          </c:val>
        </c:ser>
        <c:dLbls>
          <c:showLegendKey val="0"/>
          <c:showVal val="0"/>
          <c:showCatName val="0"/>
          <c:showSerName val="0"/>
          <c:showPercent val="0"/>
          <c:showBubbleSize val="0"/>
        </c:dLbls>
        <c:gapWidth val="219"/>
        <c:overlap val="-27"/>
        <c:axId val="-1599906656"/>
        <c:axId val="-1112564016"/>
      </c:barChart>
      <c:catAx>
        <c:axId val="-1599906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564016"/>
        <c:crosses val="autoZero"/>
        <c:auto val="1"/>
        <c:lblAlgn val="ctr"/>
        <c:lblOffset val="100"/>
        <c:noMultiLvlLbl val="0"/>
      </c:catAx>
      <c:valAx>
        <c:axId val="-111256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99066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[PoolBase_2_20151102_10208.xlsm]Distributions!ptDistBalance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Distributions!$Z$20</c:f>
              <c:strCache>
                <c:ptCount val="1"/>
                <c:pt idx="0">
                  <c:v>本金余额</c:v>
                </c:pt>
              </c:strCache>
            </c:strRef>
          </c:tx>
          <c:spPr>
            <a:solidFill>
              <a:schemeClr val="accent1"/>
            </a:solidFill>
            <a:ln>
              <a:noFill/>
            </a:ln>
            <a:effectLst/>
          </c:spPr>
          <c:invertIfNegative val="0"/>
          <c:cat>
            <c:strRef>
              <c:f>Distributions!$Y$21:$Y$39</c:f>
              <c:strCache>
                <c:ptCount val="18"/>
                <c:pt idx="0">
                  <c:v>0（不含）- 0.1（含）亿</c:v>
                </c:pt>
                <c:pt idx="1">
                  <c:v>0.1（不含）- 0.2（含）亿</c:v>
                </c:pt>
                <c:pt idx="2">
                  <c:v>0.2（不含）- 0.3（含）亿</c:v>
                </c:pt>
                <c:pt idx="3">
                  <c:v>0.3（不含）- 0.4（含）亿</c:v>
                </c:pt>
                <c:pt idx="4">
                  <c:v>0.4（不含）- 0.5（含）亿</c:v>
                </c:pt>
                <c:pt idx="5">
                  <c:v>0.5（不含）- 0.6（含）亿</c:v>
                </c:pt>
                <c:pt idx="6">
                  <c:v>0.6（不含）- 0.7（含）亿</c:v>
                </c:pt>
                <c:pt idx="7">
                  <c:v>0.7（不含）- 0.8（含）亿</c:v>
                </c:pt>
                <c:pt idx="8">
                  <c:v>0.8（不含）- 0.9（含）亿</c:v>
                </c:pt>
                <c:pt idx="9">
                  <c:v>0.9（不含）- 1（含）亿</c:v>
                </c:pt>
                <c:pt idx="10">
                  <c:v>1.1（不含）- 1.2（含）亿</c:v>
                </c:pt>
                <c:pt idx="11">
                  <c:v>1.2（不含）- 1.3（含）亿</c:v>
                </c:pt>
                <c:pt idx="12">
                  <c:v>1.3（不含）- 1.4（含）亿</c:v>
                </c:pt>
                <c:pt idx="13">
                  <c:v>1.4（不含）- 1.5（含）亿</c:v>
                </c:pt>
                <c:pt idx="14">
                  <c:v>1.7（不含）- 1.8（含）亿</c:v>
                </c:pt>
                <c:pt idx="15">
                  <c:v>1.9（不含）- 2（含）亿</c:v>
                </c:pt>
                <c:pt idx="16">
                  <c:v>2.3（不含）- 2.4（含）亿</c:v>
                </c:pt>
                <c:pt idx="17">
                  <c:v>2.4（不含）- 2.5（含）亿</c:v>
                </c:pt>
              </c:strCache>
            </c:strRef>
          </c:cat>
          <c:val>
            <c:numRef>
              <c:f>Distributions!$Z$21:$Z$39</c:f>
              <c:numCache>
                <c:formatCode>[$¥-804]#,##0.00</c:formatCode>
                <c:ptCount val="18"/>
                <c:pt idx="0">
                  <c:v>421385219</c:v>
                </c:pt>
                <c:pt idx="1">
                  <c:v>479280000</c:v>
                </c:pt>
                <c:pt idx="2">
                  <c:v>544540000</c:v>
                </c:pt>
                <c:pt idx="3">
                  <c:v>222400000</c:v>
                </c:pt>
                <c:pt idx="4">
                  <c:v>740930000</c:v>
                </c:pt>
                <c:pt idx="5">
                  <c:v>172500000</c:v>
                </c:pt>
                <c:pt idx="6">
                  <c:v>199000000</c:v>
                </c:pt>
                <c:pt idx="7">
                  <c:v>310700000</c:v>
                </c:pt>
                <c:pt idx="8">
                  <c:v>350215000</c:v>
                </c:pt>
                <c:pt idx="9">
                  <c:v>500000000</c:v>
                </c:pt>
                <c:pt idx="10">
                  <c:v>360000000</c:v>
                </c:pt>
                <c:pt idx="11">
                  <c:v>122160000</c:v>
                </c:pt>
                <c:pt idx="12">
                  <c:v>132200000</c:v>
                </c:pt>
                <c:pt idx="13">
                  <c:v>599500000</c:v>
                </c:pt>
                <c:pt idx="14">
                  <c:v>180000000</c:v>
                </c:pt>
                <c:pt idx="15">
                  <c:v>600000000</c:v>
                </c:pt>
                <c:pt idx="16">
                  <c:v>240000000</c:v>
                </c:pt>
                <c:pt idx="17">
                  <c:v>250000000</c:v>
                </c:pt>
              </c:numCache>
            </c:numRef>
          </c:val>
        </c:ser>
        <c:ser>
          <c:idx val="1"/>
          <c:order val="1"/>
          <c:tx>
            <c:strRef>
              <c:f>Distributions!$AA$20</c:f>
              <c:strCache>
                <c:ptCount val="1"/>
                <c:pt idx="0">
                  <c:v>本金余额占比</c:v>
                </c:pt>
              </c:strCache>
            </c:strRef>
          </c:tx>
          <c:spPr>
            <a:solidFill>
              <a:schemeClr val="accent2"/>
            </a:solidFill>
            <a:ln>
              <a:noFill/>
            </a:ln>
            <a:effectLst/>
          </c:spPr>
          <c:invertIfNegative val="0"/>
          <c:cat>
            <c:strRef>
              <c:f>Distributions!$Y$21:$Y$39</c:f>
              <c:strCache>
                <c:ptCount val="18"/>
                <c:pt idx="0">
                  <c:v>0（不含）- 0.1（含）亿</c:v>
                </c:pt>
                <c:pt idx="1">
                  <c:v>0.1（不含）- 0.2（含）亿</c:v>
                </c:pt>
                <c:pt idx="2">
                  <c:v>0.2（不含）- 0.3（含）亿</c:v>
                </c:pt>
                <c:pt idx="3">
                  <c:v>0.3（不含）- 0.4（含）亿</c:v>
                </c:pt>
                <c:pt idx="4">
                  <c:v>0.4（不含）- 0.5（含）亿</c:v>
                </c:pt>
                <c:pt idx="5">
                  <c:v>0.5（不含）- 0.6（含）亿</c:v>
                </c:pt>
                <c:pt idx="6">
                  <c:v>0.6（不含）- 0.7（含）亿</c:v>
                </c:pt>
                <c:pt idx="7">
                  <c:v>0.7（不含）- 0.8（含）亿</c:v>
                </c:pt>
                <c:pt idx="8">
                  <c:v>0.8（不含）- 0.9（含）亿</c:v>
                </c:pt>
                <c:pt idx="9">
                  <c:v>0.9（不含）- 1（含）亿</c:v>
                </c:pt>
                <c:pt idx="10">
                  <c:v>1.1（不含）- 1.2（含）亿</c:v>
                </c:pt>
                <c:pt idx="11">
                  <c:v>1.2（不含）- 1.3（含）亿</c:v>
                </c:pt>
                <c:pt idx="12">
                  <c:v>1.3（不含）- 1.4（含）亿</c:v>
                </c:pt>
                <c:pt idx="13">
                  <c:v>1.4（不含）- 1.5（含）亿</c:v>
                </c:pt>
                <c:pt idx="14">
                  <c:v>1.7（不含）- 1.8（含）亿</c:v>
                </c:pt>
                <c:pt idx="15">
                  <c:v>1.9（不含）- 2（含）亿</c:v>
                </c:pt>
                <c:pt idx="16">
                  <c:v>2.3（不含）- 2.4（含）亿</c:v>
                </c:pt>
                <c:pt idx="17">
                  <c:v>2.4（不含）- 2.5（含）亿</c:v>
                </c:pt>
              </c:strCache>
            </c:strRef>
          </c:cat>
          <c:val>
            <c:numRef>
              <c:f>Distributions!$AA$21:$AA$39</c:f>
              <c:numCache>
                <c:formatCode>0.00%</c:formatCode>
                <c:ptCount val="18"/>
                <c:pt idx="0">
                  <c:v>6.5587185401032311E-2</c:v>
                </c:pt>
                <c:pt idx="1">
                  <c:v>7.4598312426821897E-2</c:v>
                </c:pt>
                <c:pt idx="2">
                  <c:v>8.4755810901564005E-2</c:v>
                </c:pt>
                <c:pt idx="3">
                  <c:v>3.4615808470466511E-2</c:v>
                </c:pt>
                <c:pt idx="4">
                  <c:v>0.11532325076449079</c:v>
                </c:pt>
                <c:pt idx="5">
                  <c:v>2.6849042091526408E-2</c:v>
                </c:pt>
                <c:pt idx="6">
                  <c:v>3.0973677543268147E-2</c:v>
                </c:pt>
                <c:pt idx="7">
                  <c:v>4.8359405088911622E-2</c:v>
                </c:pt>
                <c:pt idx="8">
                  <c:v>5.4509781310631424E-2</c:v>
                </c:pt>
                <c:pt idx="9">
                  <c:v>7.7823310410221475E-2</c:v>
                </c:pt>
                <c:pt idx="10">
                  <c:v>5.6032783495359458E-2</c:v>
                </c:pt>
                <c:pt idx="11">
                  <c:v>1.9013791199425312E-2</c:v>
                </c:pt>
                <c:pt idx="12">
                  <c:v>2.0576483272462559E-2</c:v>
                </c:pt>
                <c:pt idx="13">
                  <c:v>9.331014918185554E-2</c:v>
                </c:pt>
                <c:pt idx="14">
                  <c:v>2.8016391747679729E-2</c:v>
                </c:pt>
                <c:pt idx="15">
                  <c:v>9.3387972492265769E-2</c:v>
                </c:pt>
                <c:pt idx="16">
                  <c:v>3.7355188996906305E-2</c:v>
                </c:pt>
                <c:pt idx="17">
                  <c:v>3.8911655205110737E-2</c:v>
                </c:pt>
              </c:numCache>
            </c:numRef>
          </c:val>
        </c:ser>
        <c:ser>
          <c:idx val="2"/>
          <c:order val="2"/>
          <c:tx>
            <c:strRef>
              <c:f>Distributions!$AB$20</c:f>
              <c:strCache>
                <c:ptCount val="1"/>
                <c:pt idx="0">
                  <c:v>贷款笔数占比</c:v>
                </c:pt>
              </c:strCache>
            </c:strRef>
          </c:tx>
          <c:spPr>
            <a:solidFill>
              <a:schemeClr val="accent3"/>
            </a:solidFill>
            <a:ln>
              <a:noFill/>
            </a:ln>
            <a:effectLst/>
          </c:spPr>
          <c:invertIfNegative val="0"/>
          <c:cat>
            <c:strRef>
              <c:f>Distributions!$Y$21:$Y$39</c:f>
              <c:strCache>
                <c:ptCount val="18"/>
                <c:pt idx="0">
                  <c:v>0（不含）- 0.1（含）亿</c:v>
                </c:pt>
                <c:pt idx="1">
                  <c:v>0.1（不含）- 0.2（含）亿</c:v>
                </c:pt>
                <c:pt idx="2">
                  <c:v>0.2（不含）- 0.3（含）亿</c:v>
                </c:pt>
                <c:pt idx="3">
                  <c:v>0.3（不含）- 0.4（含）亿</c:v>
                </c:pt>
                <c:pt idx="4">
                  <c:v>0.4（不含）- 0.5（含）亿</c:v>
                </c:pt>
                <c:pt idx="5">
                  <c:v>0.5（不含）- 0.6（含）亿</c:v>
                </c:pt>
                <c:pt idx="6">
                  <c:v>0.6（不含）- 0.7（含）亿</c:v>
                </c:pt>
                <c:pt idx="7">
                  <c:v>0.7（不含）- 0.8（含）亿</c:v>
                </c:pt>
                <c:pt idx="8">
                  <c:v>0.8（不含）- 0.9（含）亿</c:v>
                </c:pt>
                <c:pt idx="9">
                  <c:v>0.9（不含）- 1（含）亿</c:v>
                </c:pt>
                <c:pt idx="10">
                  <c:v>1.1（不含）- 1.2（含）亿</c:v>
                </c:pt>
                <c:pt idx="11">
                  <c:v>1.2（不含）- 1.3（含）亿</c:v>
                </c:pt>
                <c:pt idx="12">
                  <c:v>1.3（不含）- 1.4（含）亿</c:v>
                </c:pt>
                <c:pt idx="13">
                  <c:v>1.4（不含）- 1.5（含）亿</c:v>
                </c:pt>
                <c:pt idx="14">
                  <c:v>1.7（不含）- 1.8（含）亿</c:v>
                </c:pt>
                <c:pt idx="15">
                  <c:v>1.9（不含）- 2（含）亿</c:v>
                </c:pt>
                <c:pt idx="16">
                  <c:v>2.3（不含）- 2.4（含）亿</c:v>
                </c:pt>
                <c:pt idx="17">
                  <c:v>2.4（不含）- 2.5（含）亿</c:v>
                </c:pt>
              </c:strCache>
            </c:strRef>
          </c:cat>
          <c:val>
            <c:numRef>
              <c:f>Distributions!$AB$21:$AB$39</c:f>
              <c:numCache>
                <c:formatCode>General</c:formatCode>
                <c:ptCount val="18"/>
                <c:pt idx="0">
                  <c:v>101</c:v>
                </c:pt>
                <c:pt idx="1">
                  <c:v>30</c:v>
                </c:pt>
                <c:pt idx="2">
                  <c:v>20</c:v>
                </c:pt>
                <c:pt idx="3">
                  <c:v>6</c:v>
                </c:pt>
                <c:pt idx="4">
                  <c:v>15</c:v>
                </c:pt>
                <c:pt idx="5">
                  <c:v>3</c:v>
                </c:pt>
                <c:pt idx="6">
                  <c:v>3</c:v>
                </c:pt>
                <c:pt idx="7">
                  <c:v>4</c:v>
                </c:pt>
                <c:pt idx="8">
                  <c:v>4</c:v>
                </c:pt>
                <c:pt idx="9">
                  <c:v>5</c:v>
                </c:pt>
                <c:pt idx="10">
                  <c:v>3</c:v>
                </c:pt>
                <c:pt idx="11">
                  <c:v>1</c:v>
                </c:pt>
                <c:pt idx="12">
                  <c:v>1</c:v>
                </c:pt>
                <c:pt idx="13">
                  <c:v>4</c:v>
                </c:pt>
                <c:pt idx="14">
                  <c:v>1</c:v>
                </c:pt>
                <c:pt idx="15">
                  <c:v>3</c:v>
                </c:pt>
                <c:pt idx="16">
                  <c:v>1</c:v>
                </c:pt>
                <c:pt idx="17">
                  <c:v>1</c:v>
                </c:pt>
              </c:numCache>
            </c:numRef>
          </c:val>
        </c:ser>
        <c:ser>
          <c:idx val="3"/>
          <c:order val="3"/>
          <c:tx>
            <c:strRef>
              <c:f>Distributions!$AC$20</c:f>
              <c:strCache>
                <c:ptCount val="1"/>
                <c:pt idx="0">
                  <c:v>贷款笔数占比</c:v>
                </c:pt>
              </c:strCache>
            </c:strRef>
          </c:tx>
          <c:spPr>
            <a:solidFill>
              <a:schemeClr val="accent4"/>
            </a:solidFill>
            <a:ln>
              <a:noFill/>
            </a:ln>
            <a:effectLst/>
          </c:spPr>
          <c:invertIfNegative val="0"/>
          <c:cat>
            <c:strRef>
              <c:f>Distributions!$Y$21:$Y$39</c:f>
              <c:strCache>
                <c:ptCount val="18"/>
                <c:pt idx="0">
                  <c:v>0（不含）- 0.1（含）亿</c:v>
                </c:pt>
                <c:pt idx="1">
                  <c:v>0.1（不含）- 0.2（含）亿</c:v>
                </c:pt>
                <c:pt idx="2">
                  <c:v>0.2（不含）- 0.3（含）亿</c:v>
                </c:pt>
                <c:pt idx="3">
                  <c:v>0.3（不含）- 0.4（含）亿</c:v>
                </c:pt>
                <c:pt idx="4">
                  <c:v>0.4（不含）- 0.5（含）亿</c:v>
                </c:pt>
                <c:pt idx="5">
                  <c:v>0.5（不含）- 0.6（含）亿</c:v>
                </c:pt>
                <c:pt idx="6">
                  <c:v>0.6（不含）- 0.7（含）亿</c:v>
                </c:pt>
                <c:pt idx="7">
                  <c:v>0.7（不含）- 0.8（含）亿</c:v>
                </c:pt>
                <c:pt idx="8">
                  <c:v>0.8（不含）- 0.9（含）亿</c:v>
                </c:pt>
                <c:pt idx="9">
                  <c:v>0.9（不含）- 1（含）亿</c:v>
                </c:pt>
                <c:pt idx="10">
                  <c:v>1.1（不含）- 1.2（含）亿</c:v>
                </c:pt>
                <c:pt idx="11">
                  <c:v>1.2（不含）- 1.3（含）亿</c:v>
                </c:pt>
                <c:pt idx="12">
                  <c:v>1.3（不含）- 1.4（含）亿</c:v>
                </c:pt>
                <c:pt idx="13">
                  <c:v>1.4（不含）- 1.5（含）亿</c:v>
                </c:pt>
                <c:pt idx="14">
                  <c:v>1.7（不含）- 1.8（含）亿</c:v>
                </c:pt>
                <c:pt idx="15">
                  <c:v>1.9（不含）- 2（含）亿</c:v>
                </c:pt>
                <c:pt idx="16">
                  <c:v>2.3（不含）- 2.4（含）亿</c:v>
                </c:pt>
                <c:pt idx="17">
                  <c:v>2.4（不含）- 2.5（含）亿</c:v>
                </c:pt>
              </c:strCache>
            </c:strRef>
          </c:cat>
          <c:val>
            <c:numRef>
              <c:f>Distributions!$AC$21:$AC$39</c:f>
              <c:numCache>
                <c:formatCode>0.00%</c:formatCode>
                <c:ptCount val="18"/>
                <c:pt idx="0">
                  <c:v>0.49029126213592233</c:v>
                </c:pt>
                <c:pt idx="1">
                  <c:v>0.14563106796116504</c:v>
                </c:pt>
                <c:pt idx="2">
                  <c:v>9.7087378640776698E-2</c:v>
                </c:pt>
                <c:pt idx="3">
                  <c:v>2.9126213592233011E-2</c:v>
                </c:pt>
                <c:pt idx="4">
                  <c:v>7.281553398058252E-2</c:v>
                </c:pt>
                <c:pt idx="5">
                  <c:v>1.4563106796116505E-2</c:v>
                </c:pt>
                <c:pt idx="6">
                  <c:v>1.4563106796116505E-2</c:v>
                </c:pt>
                <c:pt idx="7">
                  <c:v>1.9417475728155338E-2</c:v>
                </c:pt>
                <c:pt idx="8">
                  <c:v>1.9417475728155338E-2</c:v>
                </c:pt>
                <c:pt idx="9">
                  <c:v>2.4271844660194174E-2</c:v>
                </c:pt>
                <c:pt idx="10">
                  <c:v>1.4563106796116505E-2</c:v>
                </c:pt>
                <c:pt idx="11">
                  <c:v>4.8543689320388345E-3</c:v>
                </c:pt>
                <c:pt idx="12">
                  <c:v>4.8543689320388345E-3</c:v>
                </c:pt>
                <c:pt idx="13">
                  <c:v>1.9417475728155338E-2</c:v>
                </c:pt>
                <c:pt idx="14">
                  <c:v>4.8543689320388345E-3</c:v>
                </c:pt>
                <c:pt idx="15">
                  <c:v>1.4563106796116505E-2</c:v>
                </c:pt>
                <c:pt idx="16">
                  <c:v>4.8543689320388345E-3</c:v>
                </c:pt>
                <c:pt idx="17">
                  <c:v>4.8543689320388345E-3</c:v>
                </c:pt>
              </c:numCache>
            </c:numRef>
          </c:val>
        </c:ser>
        <c:dLbls>
          <c:showLegendKey val="0"/>
          <c:showVal val="0"/>
          <c:showCatName val="0"/>
          <c:showSerName val="0"/>
          <c:showPercent val="0"/>
          <c:showBubbleSize val="0"/>
        </c:dLbls>
        <c:gapWidth val="219"/>
        <c:overlap val="-27"/>
        <c:axId val="-1112562384"/>
        <c:axId val="-1112560752"/>
      </c:barChart>
      <c:catAx>
        <c:axId val="-111256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560752"/>
        <c:crosses val="autoZero"/>
        <c:auto val="1"/>
        <c:lblAlgn val="ctr"/>
        <c:lblOffset val="100"/>
        <c:noMultiLvlLbl val="0"/>
      </c:catAx>
      <c:valAx>
        <c:axId val="-111256075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56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[PoolBase_2_20151102_10208.xlsm]Distributions!ptDistFiveClass</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Distributions!$AF$20</c:f>
              <c:strCache>
                <c:ptCount val="1"/>
                <c:pt idx="0">
                  <c:v>本金余额</c:v>
                </c:pt>
              </c:strCache>
            </c:strRef>
          </c:tx>
          <c:spPr>
            <a:solidFill>
              <a:schemeClr val="accent1"/>
            </a:solidFill>
            <a:ln>
              <a:noFill/>
            </a:ln>
            <a:effectLst/>
          </c:spPr>
          <c:invertIfNegative val="0"/>
          <c:cat>
            <c:strRef>
              <c:f>Distributions!$AE$21:$AE$24</c:f>
              <c:strCache>
                <c:ptCount val="3"/>
                <c:pt idx="0">
                  <c:v> 关注</c:v>
                </c:pt>
                <c:pt idx="1">
                  <c:v> 可疑</c:v>
                </c:pt>
                <c:pt idx="2">
                  <c:v> 正常</c:v>
                </c:pt>
              </c:strCache>
            </c:strRef>
          </c:cat>
          <c:val>
            <c:numRef>
              <c:f>Distributions!$AF$21:$AF$24</c:f>
              <c:numCache>
                <c:formatCode>[$¥-804]#,##0.00</c:formatCode>
                <c:ptCount val="3"/>
                <c:pt idx="0">
                  <c:v>65946016</c:v>
                </c:pt>
                <c:pt idx="1">
                  <c:v>8</c:v>
                </c:pt>
                <c:pt idx="2">
                  <c:v>6358864195</c:v>
                </c:pt>
              </c:numCache>
            </c:numRef>
          </c:val>
        </c:ser>
        <c:ser>
          <c:idx val="1"/>
          <c:order val="1"/>
          <c:tx>
            <c:strRef>
              <c:f>Distributions!$AG$20</c:f>
              <c:strCache>
                <c:ptCount val="1"/>
                <c:pt idx="0">
                  <c:v>本金余额占比</c:v>
                </c:pt>
              </c:strCache>
            </c:strRef>
          </c:tx>
          <c:spPr>
            <a:solidFill>
              <a:schemeClr val="accent2"/>
            </a:solidFill>
            <a:ln>
              <a:noFill/>
            </a:ln>
            <a:effectLst/>
          </c:spPr>
          <c:invertIfNegative val="0"/>
          <c:cat>
            <c:strRef>
              <c:f>Distributions!$AE$21:$AE$24</c:f>
              <c:strCache>
                <c:ptCount val="3"/>
                <c:pt idx="0">
                  <c:v> 关注</c:v>
                </c:pt>
                <c:pt idx="1">
                  <c:v> 可疑</c:v>
                </c:pt>
                <c:pt idx="2">
                  <c:v> 正常</c:v>
                </c:pt>
              </c:strCache>
            </c:strRef>
          </c:cat>
          <c:val>
            <c:numRef>
              <c:f>Distributions!$AG$21:$AG$24</c:f>
              <c:numCache>
                <c:formatCode>0.00%</c:formatCode>
                <c:ptCount val="3"/>
                <c:pt idx="0">
                  <c:v>1.0264274546970863E-2</c:v>
                </c:pt>
                <c:pt idx="1">
                  <c:v>1.2451729665635436E-9</c:v>
                </c:pt>
                <c:pt idx="2">
                  <c:v>0.98973572420785616</c:v>
                </c:pt>
              </c:numCache>
            </c:numRef>
          </c:val>
        </c:ser>
        <c:ser>
          <c:idx val="2"/>
          <c:order val="2"/>
          <c:tx>
            <c:strRef>
              <c:f>Distributions!$AH$20</c:f>
              <c:strCache>
                <c:ptCount val="1"/>
                <c:pt idx="0">
                  <c:v>贷款笔数占比</c:v>
                </c:pt>
              </c:strCache>
            </c:strRef>
          </c:tx>
          <c:spPr>
            <a:solidFill>
              <a:schemeClr val="accent3"/>
            </a:solidFill>
            <a:ln>
              <a:noFill/>
            </a:ln>
            <a:effectLst/>
          </c:spPr>
          <c:invertIfNegative val="0"/>
          <c:cat>
            <c:strRef>
              <c:f>Distributions!$AE$21:$AE$24</c:f>
              <c:strCache>
                <c:ptCount val="3"/>
                <c:pt idx="0">
                  <c:v> 关注</c:v>
                </c:pt>
                <c:pt idx="1">
                  <c:v> 可疑</c:v>
                </c:pt>
                <c:pt idx="2">
                  <c:v> 正常</c:v>
                </c:pt>
              </c:strCache>
            </c:strRef>
          </c:cat>
          <c:val>
            <c:numRef>
              <c:f>Distributions!$AH$21:$AH$24</c:f>
              <c:numCache>
                <c:formatCode>General</c:formatCode>
                <c:ptCount val="3"/>
                <c:pt idx="0">
                  <c:v>15</c:v>
                </c:pt>
                <c:pt idx="1">
                  <c:v>4</c:v>
                </c:pt>
                <c:pt idx="2">
                  <c:v>187</c:v>
                </c:pt>
              </c:numCache>
            </c:numRef>
          </c:val>
        </c:ser>
        <c:ser>
          <c:idx val="3"/>
          <c:order val="3"/>
          <c:tx>
            <c:strRef>
              <c:f>Distributions!$AI$20</c:f>
              <c:strCache>
                <c:ptCount val="1"/>
                <c:pt idx="0">
                  <c:v>贷款笔数占比</c:v>
                </c:pt>
              </c:strCache>
            </c:strRef>
          </c:tx>
          <c:spPr>
            <a:solidFill>
              <a:schemeClr val="accent4"/>
            </a:solidFill>
            <a:ln>
              <a:noFill/>
            </a:ln>
            <a:effectLst/>
          </c:spPr>
          <c:invertIfNegative val="0"/>
          <c:cat>
            <c:strRef>
              <c:f>Distributions!$AE$21:$AE$24</c:f>
              <c:strCache>
                <c:ptCount val="3"/>
                <c:pt idx="0">
                  <c:v> 关注</c:v>
                </c:pt>
                <c:pt idx="1">
                  <c:v> 可疑</c:v>
                </c:pt>
                <c:pt idx="2">
                  <c:v> 正常</c:v>
                </c:pt>
              </c:strCache>
            </c:strRef>
          </c:cat>
          <c:val>
            <c:numRef>
              <c:f>Distributions!$AI$21:$AI$24</c:f>
              <c:numCache>
                <c:formatCode>0.00%</c:formatCode>
                <c:ptCount val="3"/>
                <c:pt idx="0">
                  <c:v>7.281553398058252E-2</c:v>
                </c:pt>
                <c:pt idx="1">
                  <c:v>1.9417475728155338E-2</c:v>
                </c:pt>
                <c:pt idx="2">
                  <c:v>0.90776699029126218</c:v>
                </c:pt>
              </c:numCache>
            </c:numRef>
          </c:val>
        </c:ser>
        <c:dLbls>
          <c:showLegendKey val="0"/>
          <c:showVal val="0"/>
          <c:showCatName val="0"/>
          <c:showSerName val="0"/>
          <c:showPercent val="0"/>
          <c:showBubbleSize val="0"/>
        </c:dLbls>
        <c:gapWidth val="219"/>
        <c:overlap val="-27"/>
        <c:axId val="-1112553136"/>
        <c:axId val="-1112554224"/>
      </c:barChart>
      <c:catAx>
        <c:axId val="-1112553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554224"/>
        <c:crosses val="autoZero"/>
        <c:auto val="1"/>
        <c:lblAlgn val="ctr"/>
        <c:lblOffset val="100"/>
        <c:noMultiLvlLbl val="0"/>
      </c:catAx>
      <c:valAx>
        <c:axId val="-11125542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5531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[PoolBase_2_20151102_10208.xlsm]Distributions!ptDistBranch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Distributions!$AL$20</c:f>
              <c:strCache>
                <c:ptCount val="1"/>
                <c:pt idx="0">
                  <c:v>本金余额</c:v>
                </c:pt>
              </c:strCache>
            </c:strRef>
          </c:tx>
          <c:spPr>
            <a:solidFill>
              <a:schemeClr val="accent1"/>
            </a:solidFill>
            <a:ln>
              <a:noFill/>
            </a:ln>
            <a:effectLst/>
          </c:spPr>
          <c:invertIfNegative val="0"/>
          <c:cat>
            <c:strRef>
              <c:f>Distributions!$AK$21:$AK$29</c:f>
              <c:strCache>
                <c:ptCount val="8"/>
                <c:pt idx="0">
                  <c:v> 六盘水分行</c:v>
                </c:pt>
                <c:pt idx="1">
                  <c:v> 安顺分行</c:v>
                </c:pt>
                <c:pt idx="2">
                  <c:v> 毕节分行</c:v>
                </c:pt>
                <c:pt idx="3">
                  <c:v> 直属支行</c:v>
                </c:pt>
                <c:pt idx="4">
                  <c:v> 贵阳管理部</c:v>
                </c:pt>
                <c:pt idx="5">
                  <c:v> 遵义分行</c:v>
                </c:pt>
                <c:pt idx="6">
                  <c:v> 铜仁分行</c:v>
                </c:pt>
                <c:pt idx="7">
                  <c:v> 黔西南分行</c:v>
                </c:pt>
              </c:strCache>
            </c:strRef>
          </c:cat>
          <c:val>
            <c:numRef>
              <c:f>Distributions!$AL$21:$AL$29</c:f>
              <c:numCache>
                <c:formatCode>[$¥-804]#,##0.00</c:formatCode>
                <c:ptCount val="8"/>
                <c:pt idx="0">
                  <c:v>1055590002</c:v>
                </c:pt>
                <c:pt idx="1">
                  <c:v>712800008</c:v>
                </c:pt>
                <c:pt idx="2">
                  <c:v>1000000</c:v>
                </c:pt>
                <c:pt idx="3">
                  <c:v>279000000</c:v>
                </c:pt>
                <c:pt idx="4">
                  <c:v>853500008</c:v>
                </c:pt>
                <c:pt idx="5">
                  <c:v>1947768120</c:v>
                </c:pt>
                <c:pt idx="6">
                  <c:v>337200003</c:v>
                </c:pt>
                <c:pt idx="7">
                  <c:v>1237952078</c:v>
                </c:pt>
              </c:numCache>
            </c:numRef>
          </c:val>
        </c:ser>
        <c:ser>
          <c:idx val="1"/>
          <c:order val="1"/>
          <c:tx>
            <c:strRef>
              <c:f>Distributions!$AM$20</c:f>
              <c:strCache>
                <c:ptCount val="1"/>
                <c:pt idx="0">
                  <c:v>本金余额占比</c:v>
                </c:pt>
              </c:strCache>
            </c:strRef>
          </c:tx>
          <c:spPr>
            <a:solidFill>
              <a:schemeClr val="accent2"/>
            </a:solidFill>
            <a:ln>
              <a:noFill/>
            </a:ln>
            <a:effectLst/>
          </c:spPr>
          <c:invertIfNegative val="0"/>
          <c:cat>
            <c:strRef>
              <c:f>Distributions!$AK$21:$AK$29</c:f>
              <c:strCache>
                <c:ptCount val="8"/>
                <c:pt idx="0">
                  <c:v> 六盘水分行</c:v>
                </c:pt>
                <c:pt idx="1">
                  <c:v> 安顺分行</c:v>
                </c:pt>
                <c:pt idx="2">
                  <c:v> 毕节分行</c:v>
                </c:pt>
                <c:pt idx="3">
                  <c:v> 直属支行</c:v>
                </c:pt>
                <c:pt idx="4">
                  <c:v> 贵阳管理部</c:v>
                </c:pt>
                <c:pt idx="5">
                  <c:v> 遵义分行</c:v>
                </c:pt>
                <c:pt idx="6">
                  <c:v> 铜仁分行</c:v>
                </c:pt>
                <c:pt idx="7">
                  <c:v> 黔西南分行</c:v>
                </c:pt>
              </c:strCache>
            </c:strRef>
          </c:cat>
          <c:val>
            <c:numRef>
              <c:f>Distributions!$AM$21:$AM$29</c:f>
              <c:numCache>
                <c:formatCode>0.00%</c:formatCode>
                <c:ptCount val="8"/>
                <c:pt idx="0">
                  <c:v>0.1642990167831446</c:v>
                </c:pt>
                <c:pt idx="1">
                  <c:v>0.1109449125659847</c:v>
                </c:pt>
                <c:pt idx="2">
                  <c:v>1.5564662082044294E-4</c:v>
                </c:pt>
                <c:pt idx="3">
                  <c:v>4.3425407208903581E-2</c:v>
                </c:pt>
                <c:pt idx="4">
                  <c:v>0.13284439211542101</c:v>
                </c:pt>
                <c:pt idx="5">
                  <c:v>0.30316352601978702</c:v>
                </c:pt>
                <c:pt idx="6">
                  <c:v>5.2484041007593227E-2</c:v>
                </c:pt>
                <c:pt idx="7">
                  <c:v>0.1926830576783454</c:v>
                </c:pt>
              </c:numCache>
            </c:numRef>
          </c:val>
        </c:ser>
        <c:ser>
          <c:idx val="2"/>
          <c:order val="2"/>
          <c:tx>
            <c:strRef>
              <c:f>Distributions!$AN$20</c:f>
              <c:strCache>
                <c:ptCount val="1"/>
                <c:pt idx="0">
                  <c:v>贷款笔数占比</c:v>
                </c:pt>
              </c:strCache>
            </c:strRef>
          </c:tx>
          <c:spPr>
            <a:solidFill>
              <a:schemeClr val="accent3"/>
            </a:solidFill>
            <a:ln>
              <a:noFill/>
            </a:ln>
            <a:effectLst/>
          </c:spPr>
          <c:invertIfNegative val="0"/>
          <c:cat>
            <c:strRef>
              <c:f>Distributions!$AK$21:$AK$29</c:f>
              <c:strCache>
                <c:ptCount val="8"/>
                <c:pt idx="0">
                  <c:v> 六盘水分行</c:v>
                </c:pt>
                <c:pt idx="1">
                  <c:v> 安顺分行</c:v>
                </c:pt>
                <c:pt idx="2">
                  <c:v> 毕节分行</c:v>
                </c:pt>
                <c:pt idx="3">
                  <c:v> 直属支行</c:v>
                </c:pt>
                <c:pt idx="4">
                  <c:v> 贵阳管理部</c:v>
                </c:pt>
                <c:pt idx="5">
                  <c:v> 遵义分行</c:v>
                </c:pt>
                <c:pt idx="6">
                  <c:v> 铜仁分行</c:v>
                </c:pt>
                <c:pt idx="7">
                  <c:v> 黔西南分行</c:v>
                </c:pt>
              </c:strCache>
            </c:strRef>
          </c:cat>
          <c:val>
            <c:numRef>
              <c:f>Distributions!$AN$21:$AN$29</c:f>
              <c:numCache>
                <c:formatCode>General</c:formatCode>
                <c:ptCount val="8"/>
                <c:pt idx="0">
                  <c:v>25</c:v>
                </c:pt>
                <c:pt idx="1">
                  <c:v>31</c:v>
                </c:pt>
                <c:pt idx="2">
                  <c:v>1</c:v>
                </c:pt>
                <c:pt idx="3">
                  <c:v>5</c:v>
                </c:pt>
                <c:pt idx="4">
                  <c:v>19</c:v>
                </c:pt>
                <c:pt idx="5">
                  <c:v>98</c:v>
                </c:pt>
                <c:pt idx="6">
                  <c:v>11</c:v>
                </c:pt>
                <c:pt idx="7">
                  <c:v>16</c:v>
                </c:pt>
              </c:numCache>
            </c:numRef>
          </c:val>
        </c:ser>
        <c:ser>
          <c:idx val="3"/>
          <c:order val="3"/>
          <c:tx>
            <c:strRef>
              <c:f>Distributions!$AO$20</c:f>
              <c:strCache>
                <c:ptCount val="1"/>
                <c:pt idx="0">
                  <c:v>贷款笔数占比</c:v>
                </c:pt>
              </c:strCache>
            </c:strRef>
          </c:tx>
          <c:spPr>
            <a:solidFill>
              <a:schemeClr val="accent4"/>
            </a:solidFill>
            <a:ln>
              <a:noFill/>
            </a:ln>
            <a:effectLst/>
          </c:spPr>
          <c:invertIfNegative val="0"/>
          <c:cat>
            <c:strRef>
              <c:f>Distributions!$AK$21:$AK$29</c:f>
              <c:strCache>
                <c:ptCount val="8"/>
                <c:pt idx="0">
                  <c:v> 六盘水分行</c:v>
                </c:pt>
                <c:pt idx="1">
                  <c:v> 安顺分行</c:v>
                </c:pt>
                <c:pt idx="2">
                  <c:v> 毕节分行</c:v>
                </c:pt>
                <c:pt idx="3">
                  <c:v> 直属支行</c:v>
                </c:pt>
                <c:pt idx="4">
                  <c:v> 贵阳管理部</c:v>
                </c:pt>
                <c:pt idx="5">
                  <c:v> 遵义分行</c:v>
                </c:pt>
                <c:pt idx="6">
                  <c:v> 铜仁分行</c:v>
                </c:pt>
                <c:pt idx="7">
                  <c:v> 黔西南分行</c:v>
                </c:pt>
              </c:strCache>
            </c:strRef>
          </c:cat>
          <c:val>
            <c:numRef>
              <c:f>Distributions!$AO$21:$AO$29</c:f>
              <c:numCache>
                <c:formatCode>0.00%</c:formatCode>
                <c:ptCount val="8"/>
                <c:pt idx="0">
                  <c:v>0.12135922330097088</c:v>
                </c:pt>
                <c:pt idx="1">
                  <c:v>0.15048543689320387</c:v>
                </c:pt>
                <c:pt idx="2">
                  <c:v>4.8543689320388345E-3</c:v>
                </c:pt>
                <c:pt idx="3">
                  <c:v>2.4271844660194174E-2</c:v>
                </c:pt>
                <c:pt idx="4">
                  <c:v>9.2233009708737865E-2</c:v>
                </c:pt>
                <c:pt idx="5">
                  <c:v>0.47572815533980584</c:v>
                </c:pt>
                <c:pt idx="6">
                  <c:v>5.3398058252427182E-2</c:v>
                </c:pt>
                <c:pt idx="7">
                  <c:v>7.7669902912621352E-2</c:v>
                </c:pt>
              </c:numCache>
            </c:numRef>
          </c:val>
        </c:ser>
        <c:dLbls>
          <c:showLegendKey val="0"/>
          <c:showVal val="0"/>
          <c:showCatName val="0"/>
          <c:showSerName val="0"/>
          <c:showPercent val="0"/>
          <c:showBubbleSize val="0"/>
        </c:dLbls>
        <c:gapWidth val="219"/>
        <c:overlap val="-27"/>
        <c:axId val="-1112562928"/>
        <c:axId val="-1112568368"/>
      </c:barChart>
      <c:catAx>
        <c:axId val="-111256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568368"/>
        <c:crosses val="autoZero"/>
        <c:auto val="1"/>
        <c:lblAlgn val="ctr"/>
        <c:lblOffset val="100"/>
        <c:noMultiLvlLbl val="0"/>
      </c:catAx>
      <c:valAx>
        <c:axId val="-111256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56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[PoolBase_2_20151102_10208.xlsm]Distributions!ptDistCustomerSector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Distributions!$AR$20</c:f>
              <c:strCache>
                <c:ptCount val="1"/>
                <c:pt idx="0">
                  <c:v>本金余额</c:v>
                </c:pt>
              </c:strCache>
            </c:strRef>
          </c:tx>
          <c:spPr>
            <a:solidFill>
              <a:schemeClr val="accent1"/>
            </a:solidFill>
            <a:ln>
              <a:noFill/>
            </a:ln>
            <a:effectLst/>
          </c:spPr>
          <c:invertIfNegative val="0"/>
          <c:cat>
            <c:strRef>
              <c:f>Distributions!$AQ$21:$AQ$28</c:f>
              <c:strCache>
                <c:ptCount val="7"/>
                <c:pt idx="0">
                  <c:v>K-房地产业</c:v>
                </c:pt>
                <c:pt idx="1">
                  <c:v>N-水利、环境和公共设施管理业</c:v>
                </c:pt>
                <c:pt idx="2">
                  <c:v>O-居民服务、修理和其他服务业</c:v>
                </c:pt>
                <c:pt idx="3">
                  <c:v>P-教育</c:v>
                </c:pt>
                <c:pt idx="4">
                  <c:v>Q-卫生和社会工作</c:v>
                </c:pt>
                <c:pt idx="5">
                  <c:v>R-文化、体育和娱乐业</c:v>
                </c:pt>
                <c:pt idx="6">
                  <c:v>S-公共管理、社会保障和社会组织</c:v>
                </c:pt>
              </c:strCache>
            </c:strRef>
          </c:cat>
          <c:val>
            <c:numRef>
              <c:f>Distributions!$AR$21:$AR$28</c:f>
              <c:numCache>
                <c:formatCode>[$¥-804]#,##0.00</c:formatCode>
                <c:ptCount val="7"/>
                <c:pt idx="0">
                  <c:v>4696230219</c:v>
                </c:pt>
                <c:pt idx="1">
                  <c:v>659000000</c:v>
                </c:pt>
                <c:pt idx="2">
                  <c:v>135000000</c:v>
                </c:pt>
                <c:pt idx="3">
                  <c:v>568080000</c:v>
                </c:pt>
                <c:pt idx="4">
                  <c:v>353000000</c:v>
                </c:pt>
                <c:pt idx="5">
                  <c:v>12500000</c:v>
                </c:pt>
                <c:pt idx="6">
                  <c:v>1000000</c:v>
                </c:pt>
              </c:numCache>
            </c:numRef>
          </c:val>
        </c:ser>
        <c:ser>
          <c:idx val="1"/>
          <c:order val="1"/>
          <c:tx>
            <c:strRef>
              <c:f>Distributions!$AS$20</c:f>
              <c:strCache>
                <c:ptCount val="1"/>
                <c:pt idx="0">
                  <c:v>本金余额占比</c:v>
                </c:pt>
              </c:strCache>
            </c:strRef>
          </c:tx>
          <c:spPr>
            <a:solidFill>
              <a:schemeClr val="accent2"/>
            </a:solidFill>
            <a:ln>
              <a:noFill/>
            </a:ln>
            <a:effectLst/>
          </c:spPr>
          <c:invertIfNegative val="0"/>
          <c:cat>
            <c:strRef>
              <c:f>Distributions!$AQ$21:$AQ$28</c:f>
              <c:strCache>
                <c:ptCount val="7"/>
                <c:pt idx="0">
                  <c:v>K-房地产业</c:v>
                </c:pt>
                <c:pt idx="1">
                  <c:v>N-水利、环境和公共设施管理业</c:v>
                </c:pt>
                <c:pt idx="2">
                  <c:v>O-居民服务、修理和其他服务业</c:v>
                </c:pt>
                <c:pt idx="3">
                  <c:v>P-教育</c:v>
                </c:pt>
                <c:pt idx="4">
                  <c:v>Q-卫生和社会工作</c:v>
                </c:pt>
                <c:pt idx="5">
                  <c:v>R-文化、体育和娱乐业</c:v>
                </c:pt>
                <c:pt idx="6">
                  <c:v>S-公共管理、社会保障和社会组织</c:v>
                </c:pt>
              </c:strCache>
            </c:strRef>
          </c:cat>
          <c:val>
            <c:numRef>
              <c:f>Distributions!$AS$21:$AS$28</c:f>
              <c:numCache>
                <c:formatCode>0.00%</c:formatCode>
                <c:ptCount val="7"/>
                <c:pt idx="0">
                  <c:v>0.73095236418219878</c:v>
                </c:pt>
                <c:pt idx="1">
                  <c:v>0.1025711231206719</c:v>
                </c:pt>
                <c:pt idx="2">
                  <c:v>2.1012293810759797E-2</c:v>
                </c:pt>
                <c:pt idx="3">
                  <c:v>8.8419732355677225E-2</c:v>
                </c:pt>
                <c:pt idx="4">
                  <c:v>5.4943257149616356E-2</c:v>
                </c:pt>
                <c:pt idx="5">
                  <c:v>1.9455827602555369E-3</c:v>
                </c:pt>
                <c:pt idx="6">
                  <c:v>1.5564662082044294E-4</c:v>
                </c:pt>
              </c:numCache>
            </c:numRef>
          </c:val>
        </c:ser>
        <c:ser>
          <c:idx val="2"/>
          <c:order val="2"/>
          <c:tx>
            <c:strRef>
              <c:f>Distributions!$AT$20</c:f>
              <c:strCache>
                <c:ptCount val="1"/>
                <c:pt idx="0">
                  <c:v>贷款笔数占比</c:v>
                </c:pt>
              </c:strCache>
            </c:strRef>
          </c:tx>
          <c:spPr>
            <a:solidFill>
              <a:schemeClr val="accent3"/>
            </a:solidFill>
            <a:ln>
              <a:noFill/>
            </a:ln>
            <a:effectLst/>
          </c:spPr>
          <c:invertIfNegative val="0"/>
          <c:cat>
            <c:strRef>
              <c:f>Distributions!$AQ$21:$AQ$28</c:f>
              <c:strCache>
                <c:ptCount val="7"/>
                <c:pt idx="0">
                  <c:v>K-房地产业</c:v>
                </c:pt>
                <c:pt idx="1">
                  <c:v>N-水利、环境和公共设施管理业</c:v>
                </c:pt>
                <c:pt idx="2">
                  <c:v>O-居民服务、修理和其他服务业</c:v>
                </c:pt>
                <c:pt idx="3">
                  <c:v>P-教育</c:v>
                </c:pt>
                <c:pt idx="4">
                  <c:v>Q-卫生和社会工作</c:v>
                </c:pt>
                <c:pt idx="5">
                  <c:v>R-文化、体育和娱乐业</c:v>
                </c:pt>
                <c:pt idx="6">
                  <c:v>S-公共管理、社会保障和社会组织</c:v>
                </c:pt>
              </c:strCache>
            </c:strRef>
          </c:cat>
          <c:val>
            <c:numRef>
              <c:f>Distributions!$AT$21:$AT$28</c:f>
              <c:numCache>
                <c:formatCode>General</c:formatCode>
                <c:ptCount val="7"/>
                <c:pt idx="0">
                  <c:v>159</c:v>
                </c:pt>
                <c:pt idx="1">
                  <c:v>6</c:v>
                </c:pt>
                <c:pt idx="2">
                  <c:v>9</c:v>
                </c:pt>
                <c:pt idx="3">
                  <c:v>21</c:v>
                </c:pt>
                <c:pt idx="4">
                  <c:v>9</c:v>
                </c:pt>
                <c:pt idx="5">
                  <c:v>1</c:v>
                </c:pt>
                <c:pt idx="6">
                  <c:v>1</c:v>
                </c:pt>
              </c:numCache>
            </c:numRef>
          </c:val>
        </c:ser>
        <c:ser>
          <c:idx val="3"/>
          <c:order val="3"/>
          <c:tx>
            <c:strRef>
              <c:f>Distributions!$AU$20</c:f>
              <c:strCache>
                <c:ptCount val="1"/>
                <c:pt idx="0">
                  <c:v>贷款笔数占比</c:v>
                </c:pt>
              </c:strCache>
            </c:strRef>
          </c:tx>
          <c:spPr>
            <a:solidFill>
              <a:schemeClr val="accent4"/>
            </a:solidFill>
            <a:ln>
              <a:noFill/>
            </a:ln>
            <a:effectLst/>
          </c:spPr>
          <c:invertIfNegative val="0"/>
          <c:cat>
            <c:strRef>
              <c:f>Distributions!$AQ$21:$AQ$28</c:f>
              <c:strCache>
                <c:ptCount val="7"/>
                <c:pt idx="0">
                  <c:v>K-房地产业</c:v>
                </c:pt>
                <c:pt idx="1">
                  <c:v>N-水利、环境和公共设施管理业</c:v>
                </c:pt>
                <c:pt idx="2">
                  <c:v>O-居民服务、修理和其他服务业</c:v>
                </c:pt>
                <c:pt idx="3">
                  <c:v>P-教育</c:v>
                </c:pt>
                <c:pt idx="4">
                  <c:v>Q-卫生和社会工作</c:v>
                </c:pt>
                <c:pt idx="5">
                  <c:v>R-文化、体育和娱乐业</c:v>
                </c:pt>
                <c:pt idx="6">
                  <c:v>S-公共管理、社会保障和社会组织</c:v>
                </c:pt>
              </c:strCache>
            </c:strRef>
          </c:cat>
          <c:val>
            <c:numRef>
              <c:f>Distributions!$AU$21:$AU$28</c:f>
              <c:numCache>
                <c:formatCode>0.00%</c:formatCode>
                <c:ptCount val="7"/>
                <c:pt idx="0">
                  <c:v>0.77184466019417475</c:v>
                </c:pt>
                <c:pt idx="1">
                  <c:v>2.9126213592233011E-2</c:v>
                </c:pt>
                <c:pt idx="2">
                  <c:v>4.3689320388349516E-2</c:v>
                </c:pt>
                <c:pt idx="3">
                  <c:v>0.10194174757281553</c:v>
                </c:pt>
                <c:pt idx="4">
                  <c:v>4.3689320388349516E-2</c:v>
                </c:pt>
                <c:pt idx="5">
                  <c:v>4.8543689320388345E-3</c:v>
                </c:pt>
                <c:pt idx="6">
                  <c:v>4.8543689320388345E-3</c:v>
                </c:pt>
              </c:numCache>
            </c:numRef>
          </c:val>
        </c:ser>
        <c:dLbls>
          <c:showLegendKey val="0"/>
          <c:showVal val="0"/>
          <c:showCatName val="0"/>
          <c:showSerName val="0"/>
          <c:showPercent val="0"/>
          <c:showBubbleSize val="0"/>
        </c:dLbls>
        <c:gapWidth val="219"/>
        <c:overlap val="-27"/>
        <c:axId val="-1112558576"/>
        <c:axId val="-1112552592"/>
      </c:barChart>
      <c:catAx>
        <c:axId val="-1112558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552592"/>
        <c:crosses val="autoZero"/>
        <c:auto val="1"/>
        <c:lblAlgn val="ctr"/>
        <c:lblOffset val="100"/>
        <c:noMultiLvlLbl val="0"/>
      </c:catAx>
      <c:valAx>
        <c:axId val="-11125525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5585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[PoolBase_2_20151102_10208.xlsm]Distributions!ptDistGuarantee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Distributions!$AX$20</c:f>
              <c:strCache>
                <c:ptCount val="1"/>
                <c:pt idx="0">
                  <c:v>本金余额</c:v>
                </c:pt>
              </c:strCache>
            </c:strRef>
          </c:tx>
          <c:spPr>
            <a:solidFill>
              <a:schemeClr val="accent1"/>
            </a:solidFill>
            <a:ln>
              <a:noFill/>
            </a:ln>
            <a:effectLst/>
          </c:spPr>
          <c:invertIfNegative val="0"/>
          <c:cat>
            <c:strRef>
              <c:f>Distributions!$AW$21:$AW$37</c:f>
              <c:strCache>
                <c:ptCount val="16"/>
                <c:pt idx="0">
                  <c:v> 保证-中型企业</c:v>
                </c:pt>
                <c:pt idx="1">
                  <c:v> 保证-其他保证</c:v>
                </c:pt>
                <c:pt idx="2">
                  <c:v> 保证-大型企业</c:v>
                </c:pt>
                <c:pt idx="3">
                  <c:v> 信用</c:v>
                </c:pt>
                <c:pt idx="4">
                  <c:v> 抵押</c:v>
                </c:pt>
                <c:pt idx="5">
                  <c:v> 抵押-其他商业房产抵押</c:v>
                </c:pt>
                <c:pt idx="6">
                  <c:v> 抵押-写字楼(产权)现房抵押</c:v>
                </c:pt>
                <c:pt idx="7">
                  <c:v> 抵押-商品房(住宅)产权房期房</c:v>
                </c:pt>
                <c:pt idx="8">
                  <c:v> 抵押-商品房(住宅)产权房现房</c:v>
                </c:pt>
                <c:pt idx="9">
                  <c:v> 抵押-商铺产权现房抵押</c:v>
                </c:pt>
                <c:pt idx="10">
                  <c:v> 抵押-土地使用权</c:v>
                </c:pt>
                <c:pt idx="11">
                  <c:v> 抵押-在建工程抵押</c:v>
                </c:pt>
                <c:pt idx="12">
                  <c:v> 抵押-自建房抵押</c:v>
                </c:pt>
                <c:pt idx="13">
                  <c:v> 质押-其他权利质押</c:v>
                </c:pt>
                <c:pt idx="14">
                  <c:v> 质押-其他质押</c:v>
                </c:pt>
                <c:pt idx="15">
                  <c:v> 质押-我行存单质押</c:v>
                </c:pt>
              </c:strCache>
            </c:strRef>
          </c:cat>
          <c:val>
            <c:numRef>
              <c:f>Distributions!$AX$21:$AX$37</c:f>
              <c:numCache>
                <c:formatCode>[$¥-804]#,##0.00</c:formatCode>
                <c:ptCount val="16"/>
                <c:pt idx="0">
                  <c:v>137100000</c:v>
                </c:pt>
                <c:pt idx="1">
                  <c:v>70000000</c:v>
                </c:pt>
                <c:pt idx="2">
                  <c:v>1174500000</c:v>
                </c:pt>
                <c:pt idx="3">
                  <c:v>33980000</c:v>
                </c:pt>
                <c:pt idx="4">
                  <c:v>244611012</c:v>
                </c:pt>
                <c:pt idx="5">
                  <c:v>174660000</c:v>
                </c:pt>
                <c:pt idx="6">
                  <c:v>26500000</c:v>
                </c:pt>
                <c:pt idx="7">
                  <c:v>136430002</c:v>
                </c:pt>
                <c:pt idx="8">
                  <c:v>46000000</c:v>
                </c:pt>
                <c:pt idx="9">
                  <c:v>63500004</c:v>
                </c:pt>
                <c:pt idx="10">
                  <c:v>2528440002</c:v>
                </c:pt>
                <c:pt idx="11">
                  <c:v>1636518099</c:v>
                </c:pt>
                <c:pt idx="12">
                  <c:v>98071100</c:v>
                </c:pt>
                <c:pt idx="13">
                  <c:v>10000000</c:v>
                </c:pt>
                <c:pt idx="14">
                  <c:v>43500000</c:v>
                </c:pt>
                <c:pt idx="15">
                  <c:v>1000000</c:v>
                </c:pt>
              </c:numCache>
            </c:numRef>
          </c:val>
        </c:ser>
        <c:ser>
          <c:idx val="1"/>
          <c:order val="1"/>
          <c:tx>
            <c:strRef>
              <c:f>Distributions!$AY$20</c:f>
              <c:strCache>
                <c:ptCount val="1"/>
                <c:pt idx="0">
                  <c:v>本金余额占比</c:v>
                </c:pt>
              </c:strCache>
            </c:strRef>
          </c:tx>
          <c:spPr>
            <a:solidFill>
              <a:schemeClr val="accent2"/>
            </a:solidFill>
            <a:ln>
              <a:noFill/>
            </a:ln>
            <a:effectLst/>
          </c:spPr>
          <c:invertIfNegative val="0"/>
          <c:cat>
            <c:strRef>
              <c:f>Distributions!$AW$21:$AW$37</c:f>
              <c:strCache>
                <c:ptCount val="16"/>
                <c:pt idx="0">
                  <c:v> 保证-中型企业</c:v>
                </c:pt>
                <c:pt idx="1">
                  <c:v> 保证-其他保证</c:v>
                </c:pt>
                <c:pt idx="2">
                  <c:v> 保证-大型企业</c:v>
                </c:pt>
                <c:pt idx="3">
                  <c:v> 信用</c:v>
                </c:pt>
                <c:pt idx="4">
                  <c:v> 抵押</c:v>
                </c:pt>
                <c:pt idx="5">
                  <c:v> 抵押-其他商业房产抵押</c:v>
                </c:pt>
                <c:pt idx="6">
                  <c:v> 抵押-写字楼(产权)现房抵押</c:v>
                </c:pt>
                <c:pt idx="7">
                  <c:v> 抵押-商品房(住宅)产权房期房</c:v>
                </c:pt>
                <c:pt idx="8">
                  <c:v> 抵押-商品房(住宅)产权房现房</c:v>
                </c:pt>
                <c:pt idx="9">
                  <c:v> 抵押-商铺产权现房抵押</c:v>
                </c:pt>
                <c:pt idx="10">
                  <c:v> 抵押-土地使用权</c:v>
                </c:pt>
                <c:pt idx="11">
                  <c:v> 抵押-在建工程抵押</c:v>
                </c:pt>
                <c:pt idx="12">
                  <c:v> 抵押-自建房抵押</c:v>
                </c:pt>
                <c:pt idx="13">
                  <c:v> 质押-其他权利质押</c:v>
                </c:pt>
                <c:pt idx="14">
                  <c:v> 质押-其他质押</c:v>
                </c:pt>
                <c:pt idx="15">
                  <c:v> 质押-我行存单质押</c:v>
                </c:pt>
              </c:strCache>
            </c:strRef>
          </c:cat>
          <c:val>
            <c:numRef>
              <c:f>Distributions!$AY$21:$AY$37</c:f>
              <c:numCache>
                <c:formatCode>0.00%</c:formatCode>
                <c:ptCount val="16"/>
                <c:pt idx="0">
                  <c:v>2.1339151714482727E-2</c:v>
                </c:pt>
                <c:pt idx="1">
                  <c:v>1.0895263457431007E-2</c:v>
                </c:pt>
                <c:pt idx="2">
                  <c:v>0.18280695615361023</c:v>
                </c:pt>
                <c:pt idx="3">
                  <c:v>5.2888721754786516E-3</c:v>
                </c:pt>
                <c:pt idx="4">
                  <c:v>3.8072877433268822E-2</c:v>
                </c:pt>
                <c:pt idx="5">
                  <c:v>2.7185238792498564E-2</c:v>
                </c:pt>
                <c:pt idx="6">
                  <c:v>4.1246354517417384E-3</c:v>
                </c:pt>
                <c:pt idx="7">
                  <c:v>2.1234868789826274E-2</c:v>
                </c:pt>
                <c:pt idx="8">
                  <c:v>7.1597445577403756E-3</c:v>
                </c:pt>
                <c:pt idx="9">
                  <c:v>9.883561044684611E-3</c:v>
                </c:pt>
                <c:pt idx="10">
                  <c:v>0.39354314225853398</c:v>
                </c:pt>
                <c:pt idx="11">
                  <c:v>0.25471851202084511</c:v>
                </c:pt>
                <c:pt idx="12">
                  <c:v>1.5264435315143743E-2</c:v>
                </c:pt>
                <c:pt idx="13">
                  <c:v>1.5564662082044294E-3</c:v>
                </c:pt>
                <c:pt idx="14">
                  <c:v>6.7706280056892684E-3</c:v>
                </c:pt>
                <c:pt idx="15">
                  <c:v>1.5564662082044294E-4</c:v>
                </c:pt>
              </c:numCache>
            </c:numRef>
          </c:val>
        </c:ser>
        <c:ser>
          <c:idx val="2"/>
          <c:order val="2"/>
          <c:tx>
            <c:strRef>
              <c:f>Distributions!$AZ$20</c:f>
              <c:strCache>
                <c:ptCount val="1"/>
                <c:pt idx="0">
                  <c:v>贷款笔数占比</c:v>
                </c:pt>
              </c:strCache>
            </c:strRef>
          </c:tx>
          <c:spPr>
            <a:solidFill>
              <a:schemeClr val="accent3"/>
            </a:solidFill>
            <a:ln>
              <a:noFill/>
            </a:ln>
            <a:effectLst/>
          </c:spPr>
          <c:invertIfNegative val="0"/>
          <c:cat>
            <c:strRef>
              <c:f>Distributions!$AW$21:$AW$37</c:f>
              <c:strCache>
                <c:ptCount val="16"/>
                <c:pt idx="0">
                  <c:v> 保证-中型企业</c:v>
                </c:pt>
                <c:pt idx="1">
                  <c:v> 保证-其他保证</c:v>
                </c:pt>
                <c:pt idx="2">
                  <c:v> 保证-大型企业</c:v>
                </c:pt>
                <c:pt idx="3">
                  <c:v> 信用</c:v>
                </c:pt>
                <c:pt idx="4">
                  <c:v> 抵押</c:v>
                </c:pt>
                <c:pt idx="5">
                  <c:v> 抵押-其他商业房产抵押</c:v>
                </c:pt>
                <c:pt idx="6">
                  <c:v> 抵押-写字楼(产权)现房抵押</c:v>
                </c:pt>
                <c:pt idx="7">
                  <c:v> 抵押-商品房(住宅)产权房期房</c:v>
                </c:pt>
                <c:pt idx="8">
                  <c:v> 抵押-商品房(住宅)产权房现房</c:v>
                </c:pt>
                <c:pt idx="9">
                  <c:v> 抵押-商铺产权现房抵押</c:v>
                </c:pt>
                <c:pt idx="10">
                  <c:v> 抵押-土地使用权</c:v>
                </c:pt>
                <c:pt idx="11">
                  <c:v> 抵押-在建工程抵押</c:v>
                </c:pt>
                <c:pt idx="12">
                  <c:v> 抵押-自建房抵押</c:v>
                </c:pt>
                <c:pt idx="13">
                  <c:v> 质押-其他权利质押</c:v>
                </c:pt>
                <c:pt idx="14">
                  <c:v> 质押-其他质押</c:v>
                </c:pt>
                <c:pt idx="15">
                  <c:v> 质押-我行存单质押</c:v>
                </c:pt>
              </c:strCache>
            </c:strRef>
          </c:cat>
          <c:val>
            <c:numRef>
              <c:f>Distributions!$AZ$21:$AZ$37</c:f>
              <c:numCache>
                <c:formatCode>General</c:formatCode>
                <c:ptCount val="16"/>
                <c:pt idx="0">
                  <c:v>7</c:v>
                </c:pt>
                <c:pt idx="1">
                  <c:v>1</c:v>
                </c:pt>
                <c:pt idx="2">
                  <c:v>12</c:v>
                </c:pt>
                <c:pt idx="3">
                  <c:v>6</c:v>
                </c:pt>
                <c:pt idx="4">
                  <c:v>22</c:v>
                </c:pt>
                <c:pt idx="5">
                  <c:v>3</c:v>
                </c:pt>
                <c:pt idx="6">
                  <c:v>1</c:v>
                </c:pt>
                <c:pt idx="7">
                  <c:v>3</c:v>
                </c:pt>
                <c:pt idx="8">
                  <c:v>4</c:v>
                </c:pt>
                <c:pt idx="9">
                  <c:v>8</c:v>
                </c:pt>
                <c:pt idx="10">
                  <c:v>51</c:v>
                </c:pt>
                <c:pt idx="11">
                  <c:v>75</c:v>
                </c:pt>
                <c:pt idx="12">
                  <c:v>8</c:v>
                </c:pt>
                <c:pt idx="13">
                  <c:v>1</c:v>
                </c:pt>
                <c:pt idx="14">
                  <c:v>3</c:v>
                </c:pt>
                <c:pt idx="15">
                  <c:v>1</c:v>
                </c:pt>
              </c:numCache>
            </c:numRef>
          </c:val>
        </c:ser>
        <c:ser>
          <c:idx val="3"/>
          <c:order val="3"/>
          <c:tx>
            <c:strRef>
              <c:f>Distributions!$BA$20</c:f>
              <c:strCache>
                <c:ptCount val="1"/>
                <c:pt idx="0">
                  <c:v>贷款笔数占比</c:v>
                </c:pt>
              </c:strCache>
            </c:strRef>
          </c:tx>
          <c:spPr>
            <a:solidFill>
              <a:schemeClr val="accent4"/>
            </a:solidFill>
            <a:ln>
              <a:noFill/>
            </a:ln>
            <a:effectLst/>
          </c:spPr>
          <c:invertIfNegative val="0"/>
          <c:cat>
            <c:strRef>
              <c:f>Distributions!$AW$21:$AW$37</c:f>
              <c:strCache>
                <c:ptCount val="16"/>
                <c:pt idx="0">
                  <c:v> 保证-中型企业</c:v>
                </c:pt>
                <c:pt idx="1">
                  <c:v> 保证-其他保证</c:v>
                </c:pt>
                <c:pt idx="2">
                  <c:v> 保证-大型企业</c:v>
                </c:pt>
                <c:pt idx="3">
                  <c:v> 信用</c:v>
                </c:pt>
                <c:pt idx="4">
                  <c:v> 抵押</c:v>
                </c:pt>
                <c:pt idx="5">
                  <c:v> 抵押-其他商业房产抵押</c:v>
                </c:pt>
                <c:pt idx="6">
                  <c:v> 抵押-写字楼(产权)现房抵押</c:v>
                </c:pt>
                <c:pt idx="7">
                  <c:v> 抵押-商品房(住宅)产权房期房</c:v>
                </c:pt>
                <c:pt idx="8">
                  <c:v> 抵押-商品房(住宅)产权房现房</c:v>
                </c:pt>
                <c:pt idx="9">
                  <c:v> 抵押-商铺产权现房抵押</c:v>
                </c:pt>
                <c:pt idx="10">
                  <c:v> 抵押-土地使用权</c:v>
                </c:pt>
                <c:pt idx="11">
                  <c:v> 抵押-在建工程抵押</c:v>
                </c:pt>
                <c:pt idx="12">
                  <c:v> 抵押-自建房抵押</c:v>
                </c:pt>
                <c:pt idx="13">
                  <c:v> 质押-其他权利质押</c:v>
                </c:pt>
                <c:pt idx="14">
                  <c:v> 质押-其他质押</c:v>
                </c:pt>
                <c:pt idx="15">
                  <c:v> 质押-我行存单质押</c:v>
                </c:pt>
              </c:strCache>
            </c:strRef>
          </c:cat>
          <c:val>
            <c:numRef>
              <c:f>Distributions!$BA$21:$BA$37</c:f>
              <c:numCache>
                <c:formatCode>0.00%</c:formatCode>
                <c:ptCount val="16"/>
                <c:pt idx="0">
                  <c:v>3.3980582524271843E-2</c:v>
                </c:pt>
                <c:pt idx="1">
                  <c:v>4.8543689320388345E-3</c:v>
                </c:pt>
                <c:pt idx="2">
                  <c:v>5.8252427184466021E-2</c:v>
                </c:pt>
                <c:pt idx="3">
                  <c:v>2.9126213592233011E-2</c:v>
                </c:pt>
                <c:pt idx="4">
                  <c:v>0.10679611650485436</c:v>
                </c:pt>
                <c:pt idx="5">
                  <c:v>1.4563106796116505E-2</c:v>
                </c:pt>
                <c:pt idx="6">
                  <c:v>4.8543689320388345E-3</c:v>
                </c:pt>
                <c:pt idx="7">
                  <c:v>1.4563106796116505E-2</c:v>
                </c:pt>
                <c:pt idx="8">
                  <c:v>1.9417475728155338E-2</c:v>
                </c:pt>
                <c:pt idx="9">
                  <c:v>3.8834951456310676E-2</c:v>
                </c:pt>
                <c:pt idx="10">
                  <c:v>0.24757281553398058</c:v>
                </c:pt>
                <c:pt idx="11">
                  <c:v>0.36407766990291263</c:v>
                </c:pt>
                <c:pt idx="12">
                  <c:v>3.8834951456310676E-2</c:v>
                </c:pt>
                <c:pt idx="13">
                  <c:v>4.8543689320388345E-3</c:v>
                </c:pt>
                <c:pt idx="14">
                  <c:v>1.4563106796116505E-2</c:v>
                </c:pt>
                <c:pt idx="15">
                  <c:v>4.8543689320388345E-3</c:v>
                </c:pt>
              </c:numCache>
            </c:numRef>
          </c:val>
        </c:ser>
        <c:dLbls>
          <c:showLegendKey val="0"/>
          <c:showVal val="0"/>
          <c:showCatName val="0"/>
          <c:showSerName val="0"/>
          <c:showPercent val="0"/>
          <c:showBubbleSize val="0"/>
        </c:dLbls>
        <c:gapWidth val="219"/>
        <c:overlap val="-27"/>
        <c:axId val="-1112561296"/>
        <c:axId val="-1112552048"/>
      </c:barChart>
      <c:catAx>
        <c:axId val="-1112561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552048"/>
        <c:crosses val="autoZero"/>
        <c:auto val="1"/>
        <c:lblAlgn val="ctr"/>
        <c:lblOffset val="100"/>
        <c:noMultiLvlLbl val="0"/>
      </c:catAx>
      <c:valAx>
        <c:axId val="-111255204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5612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9.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image" Target="../media/image11.emf"/><Relationship Id="rId3" Type="http://schemas.openxmlformats.org/officeDocument/2006/relationships/image" Target="../media/image8.emf"/><Relationship Id="rId7" Type="http://schemas.openxmlformats.org/officeDocument/2006/relationships/image" Target="../media/image4.emf"/><Relationship Id="rId12" Type="http://schemas.openxmlformats.org/officeDocument/2006/relationships/image" Target="../media/image12.emf"/><Relationship Id="rId2" Type="http://schemas.openxmlformats.org/officeDocument/2006/relationships/image" Target="../media/image9.emf"/><Relationship Id="rId1" Type="http://schemas.openxmlformats.org/officeDocument/2006/relationships/image" Target="../media/image13.emf"/><Relationship Id="rId6" Type="http://schemas.openxmlformats.org/officeDocument/2006/relationships/image" Target="../media/image5.emf"/><Relationship Id="rId11" Type="http://schemas.openxmlformats.org/officeDocument/2006/relationships/image" Target="../media/image14.emf"/><Relationship Id="rId5" Type="http://schemas.openxmlformats.org/officeDocument/2006/relationships/image" Target="../media/image6.emf"/><Relationship Id="rId10" Type="http://schemas.openxmlformats.org/officeDocument/2006/relationships/image" Target="../media/image10.emf"/><Relationship Id="rId4" Type="http://schemas.openxmlformats.org/officeDocument/2006/relationships/image" Target="../media/image7.emf"/><Relationship Id="rId9" Type="http://schemas.openxmlformats.org/officeDocument/2006/relationships/image" Target="../media/image2.emf"/><Relationship Id="rId1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30480</xdr:colOff>
          <xdr:row>0</xdr:row>
          <xdr:rowOff>22860</xdr:rowOff>
        </xdr:from>
        <xdr:to>
          <xdr:col>1</xdr:col>
          <xdr:colOff>1950720</xdr:colOff>
          <xdr:row>0</xdr:row>
          <xdr:rowOff>739140</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5</xdr:row>
          <xdr:rowOff>106680</xdr:rowOff>
        </xdr:from>
        <xdr:to>
          <xdr:col>2</xdr:col>
          <xdr:colOff>1821180</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7</xdr:row>
          <xdr:rowOff>106680</xdr:rowOff>
        </xdr:from>
        <xdr:to>
          <xdr:col>2</xdr:col>
          <xdr:colOff>1821180</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8</xdr:row>
          <xdr:rowOff>106680</xdr:rowOff>
        </xdr:from>
        <xdr:to>
          <xdr:col>2</xdr:col>
          <xdr:colOff>1821180</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9</xdr:row>
          <xdr:rowOff>106680</xdr:rowOff>
        </xdr:from>
        <xdr:to>
          <xdr:col>2</xdr:col>
          <xdr:colOff>1821180</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11</xdr:row>
          <xdr:rowOff>106680</xdr:rowOff>
        </xdr:from>
        <xdr:to>
          <xdr:col>2</xdr:col>
          <xdr:colOff>1821180</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12</xdr:row>
          <xdr:rowOff>106680</xdr:rowOff>
        </xdr:from>
        <xdr:to>
          <xdr:col>2</xdr:col>
          <xdr:colOff>1821180</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14</xdr:row>
          <xdr:rowOff>106680</xdr:rowOff>
        </xdr:from>
        <xdr:to>
          <xdr:col>2</xdr:col>
          <xdr:colOff>1821180</xdr:colOff>
          <xdr:row>14</xdr:row>
          <xdr:rowOff>419100</xdr:rowOff>
        </xdr:to>
        <xdr:sp macro="" textlink="">
          <xdr:nvSpPr>
            <xdr:cNvPr id="1035" name="btnptDistFiveClass"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15</xdr:row>
          <xdr:rowOff>106680</xdr:rowOff>
        </xdr:from>
        <xdr:to>
          <xdr:col>2</xdr:col>
          <xdr:colOff>1821180</xdr:colOff>
          <xdr:row>15</xdr:row>
          <xdr:rowOff>419100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16</xdr:row>
          <xdr:rowOff>106680</xdr:rowOff>
        </xdr:from>
        <xdr:to>
          <xdr:col>2</xdr:col>
          <xdr:colOff>1821180</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17</xdr:row>
          <xdr:rowOff>106680</xdr:rowOff>
        </xdr:from>
        <xdr:to>
          <xdr:col>2</xdr:col>
          <xdr:colOff>1821180</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20</xdr:row>
          <xdr:rowOff>106680</xdr:rowOff>
        </xdr:from>
        <xdr:to>
          <xdr:col>2</xdr:col>
          <xdr:colOff>1821180</xdr:colOff>
          <xdr:row>20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4</xdr:row>
          <xdr:rowOff>68580</xdr:rowOff>
        </xdr:from>
        <xdr:to>
          <xdr:col>4</xdr:col>
          <xdr:colOff>853440</xdr:colOff>
          <xdr:row>4</xdr:row>
          <xdr:rowOff>449580</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19</xdr:row>
          <xdr:rowOff>114300</xdr:rowOff>
        </xdr:from>
        <xdr:to>
          <xdr:col>2</xdr:col>
          <xdr:colOff>1821180</xdr:colOff>
          <xdr:row>19</xdr:row>
          <xdr:rowOff>426720</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114298</xdr:colOff>
      <xdr:row>0</xdr:row>
      <xdr:rowOff>138112</xdr:rowOff>
    </xdr:from>
    <xdr:to>
      <xdr:col>4</xdr:col>
      <xdr:colOff>841055</xdr:colOff>
      <xdr:row>15</xdr:row>
      <xdr:rowOff>23812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123824</xdr:colOff>
      <xdr:row>0</xdr:row>
      <xdr:rowOff>138112</xdr:rowOff>
    </xdr:from>
    <xdr:to>
      <xdr:col>10</xdr:col>
      <xdr:colOff>850582</xdr:colOff>
      <xdr:row>15</xdr:row>
      <xdr:rowOff>23812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238125</xdr:colOff>
      <xdr:row>0</xdr:row>
      <xdr:rowOff>164306</xdr:rowOff>
    </xdr:from>
    <xdr:to>
      <xdr:col>16</xdr:col>
      <xdr:colOff>679133</xdr:colOff>
      <xdr:row>15</xdr:row>
      <xdr:rowOff>50006</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738187</xdr:colOff>
      <xdr:row>1</xdr:row>
      <xdr:rowOff>45243</xdr:rowOff>
    </xdr:from>
    <xdr:to>
      <xdr:col>21</xdr:col>
      <xdr:colOff>893445</xdr:colOff>
      <xdr:row>15</xdr:row>
      <xdr:rowOff>121443</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333376</xdr:colOff>
      <xdr:row>0</xdr:row>
      <xdr:rowOff>45243</xdr:rowOff>
    </xdr:from>
    <xdr:to>
      <xdr:col>28</xdr:col>
      <xdr:colOff>488633</xdr:colOff>
      <xdr:row>14</xdr:row>
      <xdr:rowOff>121443</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29</xdr:col>
      <xdr:colOff>952500</xdr:colOff>
      <xdr:row>0</xdr:row>
      <xdr:rowOff>188118</xdr:rowOff>
    </xdr:from>
    <xdr:to>
      <xdr:col>34</xdr:col>
      <xdr:colOff>631507</xdr:colOff>
      <xdr:row>15</xdr:row>
      <xdr:rowOff>73818</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36</xdr:col>
      <xdr:colOff>261938</xdr:colOff>
      <xdr:row>0</xdr:row>
      <xdr:rowOff>140493</xdr:rowOff>
    </xdr:from>
    <xdr:to>
      <xdr:col>41</xdr:col>
      <xdr:colOff>60008</xdr:colOff>
      <xdr:row>15</xdr:row>
      <xdr:rowOff>26193</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42</xdr:col>
      <xdr:colOff>190500</xdr:colOff>
      <xdr:row>1</xdr:row>
      <xdr:rowOff>140493</xdr:rowOff>
    </xdr:from>
    <xdr:to>
      <xdr:col>45</xdr:col>
      <xdr:colOff>369570</xdr:colOff>
      <xdr:row>16</xdr:row>
      <xdr:rowOff>26193</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48</xdr:col>
      <xdr:colOff>0</xdr:colOff>
      <xdr:row>1</xdr:row>
      <xdr:rowOff>114300</xdr:rowOff>
    </xdr:from>
    <xdr:to>
      <xdr:col>52</xdr:col>
      <xdr:colOff>857250</xdr:colOff>
      <xdr:row>16</xdr:row>
      <xdr:rowOff>0</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Local Dev" refreshedDate="42331.693074768518" backgroundQuery="1" createdVersion="5" refreshedVersion="5" minRefreshableVersion="3" recordCount="0" supportSubquery="1" supportAdvancedDrill="1">
  <cacheSource type="external" connectionId="1"/>
  <cacheFields count="18">
    <cacheField name="[Measures].[Current Principal Balance]" caption="Current Principal Balance" numFmtId="0" hierarchy="104" level="32767"/>
    <cacheField name="[Measures].[Approval Amount]" caption="Approval Amount" numFmtId="0" hierarchy="103" level="32767"/>
    <cacheField name="[Measures].[Loan Count]" caption="Loan Count" numFmtId="0" hierarchy="124" level="32767"/>
    <cacheField name="[Measures].[Average Loan Balance]" caption="Average Loan Balance" numFmtId="0" hierarchy="139" level="32767"/>
    <cacheField name="[Measures].[Average Approval Amount]" caption="Average Approval Amount" numFmtId="0" hierarchy="140" level="32767"/>
    <cacheField name="[Measures].[Weighted Average Current Rate]" caption="Weighted Average Current Rate" numFmtId="0" hierarchy="141" level="32767"/>
    <cacheField name="[Measures].[Weighted Average Term]" caption="Weighted Average Term" numFmtId="0" hierarchy="143" level="32767"/>
    <cacheField name="[Measures].[Weighted Average Term To Maturity]" caption="Weighted Average Term To Maturity" numFmtId="0" hierarchy="144" level="32767"/>
    <cacheField name="[Measures].[Weighted Average Seasoning]" caption="Weighted Average Seasoning" numFmtId="0" hierarchy="142" level="32767"/>
    <cacheField name="[Measures].[Top5CustomerLoanAmount]" caption="Top5CustomerLoanAmount" numFmtId="0" hierarchy="134" level="32767"/>
    <cacheField name="[Measures].[Top3CustomerSectorLoanAmount]" caption="Top3CustomerSectorLoanAmount" numFmtId="0" hierarchy="135" level="32767"/>
    <cacheField name="[Pool].[Dim Pool ID].[Dim Pool ID]" caption="Dim Pool ID" numFmtId="0" hierarchy="70" level="1">
      <sharedItems containsSemiMixedTypes="0" containsString="0"/>
    </cacheField>
    <cacheField name="[Pool].[Dim Pool ID].[Dim Pool ID].[Dim Organisation ID]" caption="Dim Organisation ID" propertyName="Dim Organisation ID" numFmtId="0" hierarchy="70" level="1" memberPropertyField="1">
      <sharedItems containsSemiMixedTypes="0" containsString="0"/>
    </cacheField>
    <cacheField name="[Pool].[Dim Pool ID].[Dim Pool ID].[Dim Reporting Date ID]" caption="Dim Reporting Date ID" propertyName="Dim Reporting Date ID" numFmtId="0" hierarchy="70" level="1" memberPropertyField="1">
      <sharedItems containsSemiMixedTypes="0" containsString="0"/>
    </cacheField>
    <cacheField name="[Pool].[Dim Pool ID].[Dim Pool ID].[Target Sql Connection]" caption="Target Sql Connection" propertyName="Target Sql Connection" numFmtId="0" hierarchy="70" level="1" memberPropertyField="1">
      <sharedItems containsSemiMixedTypes="0" containsString="0"/>
    </cacheField>
    <cacheField name="[View Dim EC Pass].[EC Pass No].[EC Pass No]" caption="EC Pass No" numFmtId="0" hierarchy="83" level="1">
      <sharedItems containsSemiMixedTypes="0" containsString="0"/>
    </cacheField>
    <cacheField name="[Measures].[Division Name Distinct Count]" caption="Division Name Distinct Count" numFmtId="0" hierarchy="132" level="32767"/>
    <cacheField name="[Measures].[Customer Sector Distinct Count]" caption="Customer Sector Distinct Count" numFmtId="0" hierarchy="133" level="32767"/>
  </cacheFields>
  <cacheHierarchies count="148">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0" unbalanced="0"/>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caption="Guarantee" attribute="1" defaultMemberUniqueName="[Loan].[Guarantee].[All]" allUniqueName="[Loan].[Guarantee].[All]" dimensionUniqueName="[Loan]" displayFolder="" count="0" unbalanced="0"/>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5"/>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oneField="1">
      <fieldsUsage count="1">
        <fieldUsage x="1"/>
      </fieldsUsage>
    </cacheHierarchy>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2"/>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Division Name Distinct Count]" caption="Division Name Distinct Count" measure="1" displayFolder="" measureGroup="Division Count" count="0" oneField="1">
      <fieldsUsage count="1">
        <fieldUsage x="16"/>
      </fieldsUsage>
    </cacheHierarchy>
    <cacheHierarchy uniqueName="[Measures].[Customer Sector Distinct Count]" caption="Customer Sector Distinct Count" measure="1" displayFolder="" measureGroup="Customer Sector Count" count="0" oneField="1">
      <fieldsUsage count="1">
        <fieldUsage x="17"/>
      </fieldsUsage>
    </cacheHierarchy>
    <cacheHierarchy uniqueName="[Measures].[Top5CustomerLoanAmount]" caption="Top5CustomerLoanAmount" measure="1" displayFolder="" measureGroup="View Fact Customer Loan Amount" count="0" oneField="1">
      <fieldsUsage count="1">
        <fieldUsage x="9"/>
      </fieldsUsage>
    </cacheHierarchy>
    <cacheHierarchy uniqueName="[Measures].[Top3CustomerSectorLoanAmount]" caption="Top3CustomerSectorLoanAmount" measure="1" displayFolder="" measureGroup="View Fact Customer Sector Loan Amount" count="0" oneField="1">
      <fieldsUsage count="1">
        <fieldUsage x="10"/>
      </fieldsUsage>
    </cacheHierarchy>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oneField="1">
      <fieldsUsage count="1">
        <fieldUsage x="3"/>
      </fieldsUsage>
    </cacheHierarchy>
    <cacheHierarchy uniqueName="[Measures].[Average Approval Amount]" caption="Average Approval Amount" measure="1" displayFolder="" measureGroup="View Fact Loan" count="0" oneField="1">
      <fieldsUsage count="1">
        <fieldUsage x="4"/>
      </fieldsUsage>
    </cacheHierarchy>
    <cacheHierarchy uniqueName="[Measures].[Weighted Average Current Rate]" caption="Weighted Average Current Rate" measure="1" displayFolder="" measureGroup="View Fact Loan" count="0" oneField="1">
      <fieldsUsage count="1">
        <fieldUsage x="5"/>
      </fieldsUsage>
    </cacheHierarchy>
    <cacheHierarchy uniqueName="[Measures].[Weighted Average Seasoning]" caption="Weighted Average Seasoning" measure="1" displayFolder="" measureGroup="View Fact Loan" count="0" oneField="1">
      <fieldsUsage count="1">
        <fieldUsage x="8"/>
      </fieldsUsage>
    </cacheHierarchy>
    <cacheHierarchy uniqueName="[Measures].[Weighted Average Term]" caption="Weighted Average Term" measure="1" displayFolder="" measureGroup="View Fact Loan" count="0" oneField="1">
      <fieldsUsage count="1">
        <fieldUsage x="6"/>
      </fieldsUsage>
    </cacheHierarchy>
    <cacheHierarchy uniqueName="[Measures].[Weighted Average Term To Maturity]" caption="Weighted Average Term To Maturity" measure="1" displayFolder="" measureGroup="View Fact Loan" count="0" oneField="1">
      <fieldsUsage count="1">
        <fieldUsage x="7"/>
      </fieldsUsage>
    </cacheHierarchy>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ies>
  <kpis count="0"/>
  <dimensions count="15">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5">
    <measureGroup name="Customer Sector Count" caption="Customer Sector Count"/>
    <measureGroup name="Division Count" caption="Division Count"/>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Customer Loan Amount" caption="View Fact Customer Loan Amount"/>
    <measureGroup name="View Fact Customer Sector Loan Amount" caption="View Fact Customer Sector Loan Amount"/>
    <measureGroup name="View Fact Loan" caption="View Fact Loan"/>
    <measureGroup name="View Fact Loan Customer" caption="View Fact Loan Customer"/>
    <measureGroup name="View Loan Main Customer" caption="View Loan Main Customer"/>
  </measureGroups>
  <maps count="69">
    <map measureGroup="0" dimension="0"/>
    <map measureGroup="0" dimension="1"/>
    <map measureGroup="0" dimension="2"/>
    <map measureGroup="0" dimension="5"/>
    <map measureGroup="0" dimension="6"/>
    <map measureGroup="0" dimension="7"/>
    <map measureGroup="0" dimension="9"/>
    <map measureGroup="0" dimension="10"/>
    <map measureGroup="0" dimension="11"/>
    <map measureGroup="0" dimension="12"/>
    <map measureGroup="0" dimension="14"/>
    <map measureGroup="1" dimension="0"/>
    <map measureGroup="1" dimension="1"/>
    <map measureGroup="1" dimension="2"/>
    <map measureGroup="1" dimension="5"/>
    <map measureGroup="1" dimension="6"/>
    <map measureGroup="1" dimension="7"/>
    <map measureGroup="1" dimension="9"/>
    <map measureGroup="1" dimension="10"/>
    <map measureGroup="1" dimension="11"/>
    <map measureGroup="1" dimension="12"/>
    <map measureGroup="1" dimension="14"/>
    <map measureGroup="2" dimension="3"/>
    <map measureGroup="3" dimension="1"/>
    <map measureGroup="3" dimension="9"/>
    <map measureGroup="3" dimension="14"/>
    <map measureGroup="4" dimension="6"/>
    <map measureGroup="4" dimension="9"/>
    <map measureGroup="4" dimension="14"/>
    <map measureGroup="5" dimension="1"/>
    <map measureGroup="5" dimension="5"/>
    <map measureGroup="5" dimension="9"/>
    <map measureGroup="5" dimension="14"/>
    <map measureGroup="6" dimension="9"/>
    <map measureGroup="6" dimension="14"/>
    <map measureGroup="7" dimension="9"/>
    <map measureGroup="7" dimension="14"/>
    <map measureGroup="8" dimension="5"/>
    <map measureGroup="8" dimension="9"/>
    <map measureGroup="8" dimension="14"/>
    <map measureGroup="9" dimension="9"/>
    <map measureGroup="9" dimension="14"/>
    <map measureGroup="10" dimension="1"/>
    <map measureGroup="10" dimension="2"/>
    <map measureGroup="10" dimension="9"/>
    <map measureGroup="10" dimension="14"/>
    <map measureGroup="11" dimension="1"/>
    <map measureGroup="11" dimension="2"/>
    <map measureGroup="11" dimension="9"/>
    <map measureGroup="11" dimension="13"/>
    <map measureGroup="11" dimension="14"/>
    <map measureGroup="12" dimension="0"/>
    <map measureGroup="12" dimension="1"/>
    <map measureGroup="12" dimension="2"/>
    <map measureGroup="12" dimension="5"/>
    <map measureGroup="12" dimension="6"/>
    <map measureGroup="12" dimension="7"/>
    <map measureGroup="12" dimension="9"/>
    <map measureGroup="12" dimension="10"/>
    <map measureGroup="12" dimension="11"/>
    <map measureGroup="12" dimension="12"/>
    <map measureGroup="12" dimension="14"/>
    <map measureGroup="13" dimension="1"/>
    <map measureGroup="13" dimension="2"/>
    <map measureGroup="13" dimension="6"/>
    <map measureGroup="13" dimension="9"/>
    <map measureGroup="13" dimension="14"/>
    <map measureGroup="14" dimension="9"/>
    <map measureGroup="14"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Local Dev" refreshedDate="42331.693076157404" backgroundQuery="1" createdVersion="5" refreshedVersion="5" minRefreshableVersion="3" recordCount="0" supportSubquery="1" supportAdvancedDrill="1">
  <cacheSource type="external" connectionId="1"/>
  <cacheFields count="10">
    <cacheField name="[Measures].[Current Principal Balance]" caption="Current Principal Balance" numFmtId="0" hierarchy="104" level="32767"/>
    <cacheField name="[Measures].[Loan Count]" caption="Loan Count" numFmtId="0" hierarchy="124" level="32767"/>
    <cacheField name="[Loan].[Guarantee].[Guarantee]" caption="Guarantee" numFmtId="0" hierarchy="50" level="1">
      <sharedItems count="16">
        <s v="[Loan].[Guarantee].&amp;[ 保证-中型企业]" c=" 保证-中型企业"/>
        <s v="[Loan].[Guarantee].&amp;[ 保证-其他保证]" c=" 保证-其他保证"/>
        <s v="[Loan].[Guarantee].&amp;[ 保证-大型企业]" c=" 保证-大型企业"/>
        <s v="[Loan].[Guarantee].&amp;[ 信用]" c=" 信用"/>
        <s v="[Loan].[Guarantee].&amp;[ 抵押]" c=" 抵押"/>
        <s v="[Loan].[Guarantee].&amp;[ 抵押-其他商业房产抵押]" c=" 抵押-其他商业房产抵押"/>
        <s v="[Loan].[Guarantee].&amp;[ 抵押-写字楼(产权)现房抵押]" c=" 抵押-写字楼(产权)现房抵押"/>
        <s v="[Loan].[Guarantee].&amp;[ 抵押-商品房(住宅)产权房期房]" c=" 抵押-商品房(住宅)产权房期房"/>
        <s v="[Loan].[Guarantee].&amp;[ 抵押-商品房(住宅)产权房现房]" c=" 抵押-商品房(住宅)产权房现房"/>
        <s v="[Loan].[Guarantee].&amp;[ 抵押-商铺产权现房抵押]" c=" 抵押-商铺产权现房抵押"/>
        <s v="[Loan].[Guarantee].&amp;[ 抵押-土地使用权]" c=" 抵押-土地使用权"/>
        <s v="[Loan].[Guarantee].&amp;[ 抵押-在建工程抵押]" c=" 抵押-在建工程抵押"/>
        <s v="[Loan].[Guarantee].&amp;[ 抵押-自建房抵押]" c=" 抵押-自建房抵押"/>
        <s v="[Loan].[Guarantee].&amp;[ 质押-其他权利质押]" c=" 质押-其他权利质押"/>
        <s v="[Loan].[Guarantee].&amp;[ 质押-其他质押]" c=" 质押-其他质押"/>
        <s v="[Loan].[Guarantee].&amp;[ 质押-我行存单质押]" c=" 质押-我行存单质押"/>
      </sharedItems>
    </cacheField>
    <cacheField name="[View Dim EC Pass].[EC Pass No].[EC Pass No]" caption="EC Pass No" numFmtId="0" hierarchy="83" level="1">
      <sharedItems containsSemiMixedTypes="0" containsString="0"/>
    </cacheField>
    <cacheField name="[Pool].[Dim Pool ID].[Dim Pool ID]" caption="Dim Pool ID" numFmtId="0" hierarchy="70" level="1">
      <sharedItems containsSemiMixedTypes="0" containsString="0"/>
    </cacheField>
    <cacheField name="[Pool].[Dim Pool ID].[Dim Pool ID].[Dim Organisation ID]" caption="Dim Organisation ID" propertyName="Dim Organisation ID" numFmtId="0" hierarchy="70" level="1" memberPropertyField="1">
      <sharedItems containsSemiMixedTypes="0" containsString="0"/>
    </cacheField>
    <cacheField name="[Pool].[Dim Pool ID].[Dim Pool ID].[Dim Reporting Date ID]" caption="Dim Reporting Date ID" propertyName="Dim Reporting Date ID" numFmtId="0" hierarchy="70" level="1" memberPropertyField="1">
      <sharedItems containsSemiMixedTypes="0" containsString="0"/>
    </cacheField>
    <cacheField name="[Pool].[Dim Pool ID].[Dim Pool ID].[Target Sql Connection]" caption="Target Sql Connection" propertyName="Target Sql Connection" numFmtId="0" hierarchy="70" level="1" memberPropertyField="1">
      <sharedItems containsSemiMixedTypes="0" containsString="0"/>
    </cacheField>
    <cacheField name="Dummy0" numFmtId="0" hierarchy="148" level="32767">
      <extLst>
        <ext xmlns:x14="http://schemas.microsoft.com/office/spreadsheetml/2009/9/main" uri="{63CAB8AC-B538-458d-9737-405883B0398D}">
          <x14:cacheField ignore="1"/>
        </ext>
      </extLst>
    </cacheField>
    <cacheField name="Dummy1" numFmtId="0" hierarchy="149" level="32767">
      <extLst>
        <ext xmlns:x14="http://schemas.microsoft.com/office/spreadsheetml/2009/9/main" uri="{63CAB8AC-B538-458d-9737-405883B0398D}">
          <x14:cacheField ignore="1"/>
        </ext>
      </extLst>
    </cacheField>
  </cacheFields>
  <cacheHierarchies count="15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0" unbalanced="0"/>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caption="Guarantee" attribute="1" defaultMemberUniqueName="[Loan].[Guarantee].[All]" allUniqueName="[Loan].[Guarantee].[All]" dimensionUniqueName="[Loan]" displayFolder="" count="2" unbalanced="0">
      <fieldsUsage count="2">
        <fieldUsage x="-1"/>
        <fieldUsage x="2"/>
      </fieldsUsage>
    </cacheHierarchy>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Division Name Distinct Count]" caption="Division Name Distinct Count" measure="1" displayFolder="" measureGroup="Division Count" count="0"/>
    <cacheHierarchy uniqueName="[Measures].[Customer Sector Distinct Count]" caption="Customer Sector Distinct Count" measure="1" displayFolder="" measureGroup="Customer Sector Count" count="0"/>
    <cacheHierarchy uniqueName="[Measures].[Top5CustomerLoanAmount]" caption="Top5CustomerLoanAmount" measure="1" displayFolder="" measureGroup="View Fact Customer Loan Amount" count="0"/>
    <cacheHierarchy uniqueName="[Measures].[Top3CustomerSectorLoanAmount]" caption="Top3CustomerSectorLoanAmount" measure="1" displayFolder="" measureGroup="View Fact Customer Sector Loan Am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5">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5">
    <measureGroup name="Customer Sector Count" caption="Customer Sector Count"/>
    <measureGroup name="Division Count" caption="Division Count"/>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Customer Loan Amount" caption="View Fact Customer Loan Amount"/>
    <measureGroup name="View Fact Customer Sector Loan Amount" caption="View Fact Customer Sector Loan Amount"/>
    <measureGroup name="View Fact Loan" caption="View Fact Loan"/>
    <measureGroup name="View Fact Loan Customer" caption="View Fact Loan Customer"/>
    <measureGroup name="View Loan Main Customer" caption="View Loan Main Customer"/>
  </measureGroups>
  <maps count="69">
    <map measureGroup="0" dimension="0"/>
    <map measureGroup="0" dimension="1"/>
    <map measureGroup="0" dimension="2"/>
    <map measureGroup="0" dimension="5"/>
    <map measureGroup="0" dimension="6"/>
    <map measureGroup="0" dimension="7"/>
    <map measureGroup="0" dimension="9"/>
    <map measureGroup="0" dimension="10"/>
    <map measureGroup="0" dimension="11"/>
    <map measureGroup="0" dimension="12"/>
    <map measureGroup="0" dimension="14"/>
    <map measureGroup="1" dimension="0"/>
    <map measureGroup="1" dimension="1"/>
    <map measureGroup="1" dimension="2"/>
    <map measureGroup="1" dimension="5"/>
    <map measureGroup="1" dimension="6"/>
    <map measureGroup="1" dimension="7"/>
    <map measureGroup="1" dimension="9"/>
    <map measureGroup="1" dimension="10"/>
    <map measureGroup="1" dimension="11"/>
    <map measureGroup="1" dimension="12"/>
    <map measureGroup="1" dimension="14"/>
    <map measureGroup="2" dimension="3"/>
    <map measureGroup="3" dimension="1"/>
    <map measureGroup="3" dimension="9"/>
    <map measureGroup="3" dimension="14"/>
    <map measureGroup="4" dimension="6"/>
    <map measureGroup="4" dimension="9"/>
    <map measureGroup="4" dimension="14"/>
    <map measureGroup="5" dimension="1"/>
    <map measureGroup="5" dimension="5"/>
    <map measureGroup="5" dimension="9"/>
    <map measureGroup="5" dimension="14"/>
    <map measureGroup="6" dimension="9"/>
    <map measureGroup="6" dimension="14"/>
    <map measureGroup="7" dimension="9"/>
    <map measureGroup="7" dimension="14"/>
    <map measureGroup="8" dimension="5"/>
    <map measureGroup="8" dimension="9"/>
    <map measureGroup="8" dimension="14"/>
    <map measureGroup="9" dimension="9"/>
    <map measureGroup="9" dimension="14"/>
    <map measureGroup="10" dimension="1"/>
    <map measureGroup="10" dimension="2"/>
    <map measureGroup="10" dimension="9"/>
    <map measureGroup="10" dimension="14"/>
    <map measureGroup="11" dimension="1"/>
    <map measureGroup="11" dimension="2"/>
    <map measureGroup="11" dimension="9"/>
    <map measureGroup="11" dimension="13"/>
    <map measureGroup="11" dimension="14"/>
    <map measureGroup="12" dimension="0"/>
    <map measureGroup="12" dimension="1"/>
    <map measureGroup="12" dimension="2"/>
    <map measureGroup="12" dimension="5"/>
    <map measureGroup="12" dimension="6"/>
    <map measureGroup="12" dimension="7"/>
    <map measureGroup="12" dimension="9"/>
    <map measureGroup="12" dimension="10"/>
    <map measureGroup="12" dimension="11"/>
    <map measureGroup="12" dimension="12"/>
    <map measureGroup="12" dimension="14"/>
    <map measureGroup="13" dimension="1"/>
    <map measureGroup="13" dimension="2"/>
    <map measureGroup="13" dimension="6"/>
    <map measureGroup="13" dimension="9"/>
    <map measureGroup="13" dimension="14"/>
    <map measureGroup="14" dimension="9"/>
    <map measureGroup="14"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Local Dev" refreshedDate="42331.693077777774" backgroundQuery="1" createdVersion="5" refreshedVersion="5" minRefreshableVersion="3" recordCount="0" supportSubquery="1" supportAdvancedDrill="1">
  <cacheSource type="external" connectionId="1"/>
  <cacheFields count="10">
    <cacheField name="[Measures].[Current Principal Balance]" caption="Current Principal Balance" numFmtId="0" hierarchy="104" level="32767"/>
    <cacheField name="[Measures].[Loan Count]" caption="Loan Count" numFmtId="0" hierarchy="124" level="32767"/>
    <cacheField name="[Loan].[Division Name].[Division Name]" caption="Division Name" numFmtId="0" hierarchy="49" level="1">
      <sharedItems count="8">
        <s v="[Loan].[Division Name].&amp;[ 六盘水分行]" c=" 六盘水分行"/>
        <s v="[Loan].[Division Name].&amp;[ 安顺分行]" c=" 安顺分行"/>
        <s v="[Loan].[Division Name].&amp;[ 毕节分行]" c=" 毕节分行"/>
        <s v="[Loan].[Division Name].&amp;[ 直属支行]" c=" 直属支行"/>
        <s v="[Loan].[Division Name].&amp;[ 贵阳管理部]" c=" 贵阳管理部"/>
        <s v="[Loan].[Division Name].&amp;[ 遵义分行]" c=" 遵义分行"/>
        <s v="[Loan].[Division Name].&amp;[ 铜仁分行]" c=" 铜仁分行"/>
        <s v="[Loan].[Division Name].&amp;[ 黔西南分行]" c=" 黔西南分行"/>
      </sharedItems>
    </cacheField>
    <cacheField name="[View Dim EC Pass].[EC Pass No].[EC Pass No]" caption="EC Pass No" numFmtId="0" hierarchy="83" level="1">
      <sharedItems containsSemiMixedTypes="0" containsString="0"/>
    </cacheField>
    <cacheField name="[Pool].[Dim Pool ID].[Dim Pool ID]" caption="Dim Pool ID" numFmtId="0" hierarchy="70" level="1">
      <sharedItems containsSemiMixedTypes="0" containsString="0"/>
    </cacheField>
    <cacheField name="[Pool].[Dim Pool ID].[Dim Pool ID].[Dim Organisation ID]" caption="Dim Organisation ID" propertyName="Dim Organisation ID" numFmtId="0" hierarchy="70" level="1" memberPropertyField="1">
      <sharedItems containsSemiMixedTypes="0" containsString="0"/>
    </cacheField>
    <cacheField name="[Pool].[Dim Pool ID].[Dim Pool ID].[Dim Reporting Date ID]" caption="Dim Reporting Date ID" propertyName="Dim Reporting Date ID" numFmtId="0" hierarchy="70" level="1" memberPropertyField="1">
      <sharedItems containsSemiMixedTypes="0" containsString="0"/>
    </cacheField>
    <cacheField name="[Pool].[Dim Pool ID].[Dim Pool ID].[Target Sql Connection]" caption="Target Sql Connection" propertyName="Target Sql Connection" numFmtId="0" hierarchy="70" level="1" memberPropertyField="1">
      <sharedItems containsSemiMixedTypes="0" containsString="0"/>
    </cacheField>
    <cacheField name="Dummy0" numFmtId="0" hierarchy="148" level="32767">
      <extLst>
        <ext xmlns:x14="http://schemas.microsoft.com/office/spreadsheetml/2009/9/main" uri="{63CAB8AC-B538-458d-9737-405883B0398D}">
          <x14:cacheField ignore="1"/>
        </ext>
      </extLst>
    </cacheField>
    <cacheField name="Dummy1" numFmtId="0" hierarchy="149" level="32767">
      <extLst>
        <ext xmlns:x14="http://schemas.microsoft.com/office/spreadsheetml/2009/9/main" uri="{63CAB8AC-B538-458d-9737-405883B0398D}">
          <x14:cacheField ignore="1"/>
        </ext>
      </extLst>
    </cacheField>
  </cacheFields>
  <cacheHierarchies count="15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0" unbalanced="0"/>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caption="Guarantee" attribute="1" defaultMemberUniqueName="[Loan].[Guarantee].[All]" allUniqueName="[Loan].[Guarantee].[All]" dimensionUniqueName="[Loan]" displayFolder="" count="0" unbalanced="0"/>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Division Name Distinct Count]" caption="Division Name Distinct Count" measure="1" displayFolder="" measureGroup="Division Count" count="0"/>
    <cacheHierarchy uniqueName="[Measures].[Customer Sector Distinct Count]" caption="Customer Sector Distinct Count" measure="1" displayFolder="" measureGroup="Customer Sector Count" count="0"/>
    <cacheHierarchy uniqueName="[Measures].[Top5CustomerLoanAmount]" caption="Top5CustomerLoanAmount" measure="1" displayFolder="" measureGroup="View Fact Customer Loan Amount" count="0"/>
    <cacheHierarchy uniqueName="[Measures].[Top3CustomerSectorLoanAmount]" caption="Top3CustomerSectorLoanAmount" measure="1" displayFolder="" measureGroup="View Fact Customer Sector Loan Am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5">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5">
    <measureGroup name="Customer Sector Count" caption="Customer Sector Count"/>
    <measureGroup name="Division Count" caption="Division Count"/>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Customer Loan Amount" caption="View Fact Customer Loan Amount"/>
    <measureGroup name="View Fact Customer Sector Loan Amount" caption="View Fact Customer Sector Loan Amount"/>
    <measureGroup name="View Fact Loan" caption="View Fact Loan"/>
    <measureGroup name="View Fact Loan Customer" caption="View Fact Loan Customer"/>
    <measureGroup name="View Loan Main Customer" caption="View Loan Main Customer"/>
  </measureGroups>
  <maps count="69">
    <map measureGroup="0" dimension="0"/>
    <map measureGroup="0" dimension="1"/>
    <map measureGroup="0" dimension="2"/>
    <map measureGroup="0" dimension="5"/>
    <map measureGroup="0" dimension="6"/>
    <map measureGroup="0" dimension="7"/>
    <map measureGroup="0" dimension="9"/>
    <map measureGroup="0" dimension="10"/>
    <map measureGroup="0" dimension="11"/>
    <map measureGroup="0" dimension="12"/>
    <map measureGroup="0" dimension="14"/>
    <map measureGroup="1" dimension="0"/>
    <map measureGroup="1" dimension="1"/>
    <map measureGroup="1" dimension="2"/>
    <map measureGroup="1" dimension="5"/>
    <map measureGroup="1" dimension="6"/>
    <map measureGroup="1" dimension="7"/>
    <map measureGroup="1" dimension="9"/>
    <map measureGroup="1" dimension="10"/>
    <map measureGroup="1" dimension="11"/>
    <map measureGroup="1" dimension="12"/>
    <map measureGroup="1" dimension="14"/>
    <map measureGroup="2" dimension="3"/>
    <map measureGroup="3" dimension="1"/>
    <map measureGroup="3" dimension="9"/>
    <map measureGroup="3" dimension="14"/>
    <map measureGroup="4" dimension="6"/>
    <map measureGroup="4" dimension="9"/>
    <map measureGroup="4" dimension="14"/>
    <map measureGroup="5" dimension="1"/>
    <map measureGroup="5" dimension="5"/>
    <map measureGroup="5" dimension="9"/>
    <map measureGroup="5" dimension="14"/>
    <map measureGroup="6" dimension="9"/>
    <map measureGroup="6" dimension="14"/>
    <map measureGroup="7" dimension="9"/>
    <map measureGroup="7" dimension="14"/>
    <map measureGroup="8" dimension="5"/>
    <map measureGroup="8" dimension="9"/>
    <map measureGroup="8" dimension="14"/>
    <map measureGroup="9" dimension="9"/>
    <map measureGroup="9" dimension="14"/>
    <map measureGroup="10" dimension="1"/>
    <map measureGroup="10" dimension="2"/>
    <map measureGroup="10" dimension="9"/>
    <map measureGroup="10" dimension="14"/>
    <map measureGroup="11" dimension="1"/>
    <map measureGroup="11" dimension="2"/>
    <map measureGroup="11" dimension="9"/>
    <map measureGroup="11" dimension="13"/>
    <map measureGroup="11" dimension="14"/>
    <map measureGroup="12" dimension="0"/>
    <map measureGroup="12" dimension="1"/>
    <map measureGroup="12" dimension="2"/>
    <map measureGroup="12" dimension="5"/>
    <map measureGroup="12" dimension="6"/>
    <map measureGroup="12" dimension="7"/>
    <map measureGroup="12" dimension="9"/>
    <map measureGroup="12" dimension="10"/>
    <map measureGroup="12" dimension="11"/>
    <map measureGroup="12" dimension="12"/>
    <map measureGroup="12" dimension="14"/>
    <map measureGroup="13" dimension="1"/>
    <map measureGroup="13" dimension="2"/>
    <map measureGroup="13" dimension="6"/>
    <map measureGroup="13" dimension="9"/>
    <map measureGroup="13" dimension="14"/>
    <map measureGroup="14" dimension="9"/>
    <map measureGroup="14"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Local Dev" refreshedDate="42331.693079629629" backgroundQuery="1" createdVersion="5" refreshedVersion="5" minRefreshableVersion="3" recordCount="0" supportSubquery="1" supportAdvancedDrill="1">
  <cacheSource type="external" connectionId="1"/>
  <cacheFields count="11">
    <cacheField name="[Measures].[Current Principal Balance]" caption="Current Principal Balance" numFmtId="0" hierarchy="104" level="32767"/>
    <cacheField name="[Measures].[Loan Count]" caption="Loan Count" numFmtId="0" hierarchy="124" level="32767"/>
    <cacheField name="[Principal Balance Distribution].[Distributions Desc].[Distributions Desc]" caption="Distributions Desc" numFmtId="0" hierarchy="73" level="1" mappingCount="1">
      <sharedItems count="18">
        <s v="[Principal Balance Distribution].[Distributions Desc].&amp;[0（不含）- 0.1（含）亿]" c="0（不含）- 0.1（含）亿" cp="1">
          <x/>
        </s>
        <s v="[Principal Balance Distribution].[Distributions Desc].&amp;[0.1（不含）- 0.2（含）亿]" c="0.1（不含）- 0.2（含）亿" cp="1">
          <x v="1"/>
        </s>
        <s v="[Principal Balance Distribution].[Distributions Desc].&amp;[0.2（不含）- 0.3（含）亿]" c="0.2（不含）- 0.3（含）亿" cp="1">
          <x v="2"/>
        </s>
        <s v="[Principal Balance Distribution].[Distributions Desc].&amp;[0.3（不含）- 0.4（含）亿]" c="0.3（不含）- 0.4（含）亿" cp="1">
          <x v="3"/>
        </s>
        <s v="[Principal Balance Distribution].[Distributions Desc].&amp;[0.4（不含）- 0.5（含）亿]" c="0.4（不含）- 0.5（含）亿" cp="1">
          <x v="4"/>
        </s>
        <s v="[Principal Balance Distribution].[Distributions Desc].&amp;[0.5（不含）- 0.6（含）亿]" c="0.5（不含）- 0.6（含）亿" cp="1">
          <x v="5"/>
        </s>
        <s v="[Principal Balance Distribution].[Distributions Desc].&amp;[0.6（不含）- 0.7（含）亿]" c="0.6（不含）- 0.7（含）亿" cp="1">
          <x v="6"/>
        </s>
        <s v="[Principal Balance Distribution].[Distributions Desc].&amp;[0.7（不含）- 0.8（含）亿]" c="0.7（不含）- 0.8（含）亿" cp="1">
          <x v="7"/>
        </s>
        <s v="[Principal Balance Distribution].[Distributions Desc].&amp;[0.8（不含）- 0.9（含）亿]" c="0.8（不含）- 0.9（含）亿" cp="1">
          <x v="8"/>
        </s>
        <s v="[Principal Balance Distribution].[Distributions Desc].&amp;[0.9（不含）- 1（含）亿]" c="0.9（不含）- 1（含）亿" cp="1">
          <x v="9"/>
        </s>
        <s v="[Principal Balance Distribution].[Distributions Desc].&amp;[1.1（不含）- 1.2（含）亿]" c="1.1（不含）- 1.2（含）亿" cp="1">
          <x v="10"/>
        </s>
        <s v="[Principal Balance Distribution].[Distributions Desc].&amp;[1.2（不含）- 1.3（含）亿]" c="1.2（不含）- 1.3（含）亿" cp="1">
          <x v="11"/>
        </s>
        <s v="[Principal Balance Distribution].[Distributions Desc].&amp;[1.3（不含）- 1.4（含）亿]" c="1.3（不含）- 1.4（含）亿" cp="1">
          <x v="12"/>
        </s>
        <s v="[Principal Balance Distribution].[Distributions Desc].&amp;[1.4（不含）- 1.5（含）亿]" c="1.4（不含）- 1.5（含）亿" cp="1">
          <x v="13"/>
        </s>
        <s v="[Principal Balance Distribution].[Distributions Desc].&amp;[1.7（不含）- 1.8（含）亿]" c="1.7（不含）- 1.8（含）亿" cp="1">
          <x v="14"/>
        </s>
        <s v="[Principal Balance Distribution].[Distributions Desc].&amp;[1.9（不含）- 2（含）亿]" c="1.9（不含）- 2（含）亿" cp="1">
          <x v="15"/>
        </s>
        <s v="[Principal Balance Distribution].[Distributions Desc].&amp;[2.3（不含）- 2.4（含）亿]" c="2.3（不含）- 2.4（含）亿" cp="1">
          <x v="16"/>
        </s>
        <s v="[Principal Balance Distribution].[Distributions Desc].&amp;[2.4（不含）- 2.5（含）亿]" c="2.4（不含）- 2.5（含）亿" cp="1">
          <x v="17"/>
        </s>
      </sharedItems>
      <mpMap v="3"/>
    </cacheField>
    <cacheField name="[Principal Balance Distribution].[Distributions Desc].[Distributions Desc].[Sort Key]" caption="Sort Key" propertyName="Sort Key" numFmtId="0" hierarchy="73" level="1" memberPropertyField="1">
      <sharedItems containsSemiMixedTypes="0" containsString="0" containsNumber="1" containsInteger="1" minValue="10" maxValue="250" count="18">
        <n v="10"/>
        <n v="20"/>
        <n v="30"/>
        <n v="40"/>
        <n v="50"/>
        <n v="60"/>
        <n v="70"/>
        <n v="80"/>
        <n v="90"/>
        <n v="100"/>
        <n v="120"/>
        <n v="130"/>
        <n v="140"/>
        <n v="150"/>
        <n v="180"/>
        <n v="200"/>
        <n v="240"/>
        <n v="250"/>
      </sharedItems>
    </cacheField>
    <cacheField name="[View Dim EC Pass].[EC Pass No].[EC Pass No]" caption="EC Pass No" numFmtId="0" hierarchy="83" level="1">
      <sharedItems containsSemiMixedTypes="0" containsString="0"/>
    </cacheField>
    <cacheField name="[Pool].[Dim Pool ID].[Dim Pool ID]" caption="Dim Pool ID" numFmtId="0" hierarchy="70" level="1">
      <sharedItems containsSemiMixedTypes="0" containsString="0"/>
    </cacheField>
    <cacheField name="[Pool].[Dim Pool ID].[Dim Pool ID].[Dim Organisation ID]" caption="Dim Organisation ID" propertyName="Dim Organisation ID" numFmtId="0" hierarchy="70" level="1" memberPropertyField="1">
      <sharedItems containsSemiMixedTypes="0" containsString="0"/>
    </cacheField>
    <cacheField name="[Pool].[Dim Pool ID].[Dim Pool ID].[Dim Reporting Date ID]" caption="Dim Reporting Date ID" propertyName="Dim Reporting Date ID" numFmtId="0" hierarchy="70" level="1" memberPropertyField="1">
      <sharedItems containsSemiMixedTypes="0" containsString="0"/>
    </cacheField>
    <cacheField name="[Pool].[Dim Pool ID].[Dim Pool ID].[Target Sql Connection]" caption="Target Sql Connection" propertyName="Target Sql Connection" numFmtId="0" hierarchy="70" level="1" memberPropertyField="1">
      <sharedItems containsSemiMixedTypes="0" containsString="0"/>
    </cacheField>
    <cacheField name="Dummy0" numFmtId="0" hierarchy="148" level="32767">
      <extLst>
        <ext xmlns:x14="http://schemas.microsoft.com/office/spreadsheetml/2009/9/main" uri="{63CAB8AC-B538-458d-9737-405883B0398D}">
          <x14:cacheField ignore="1"/>
        </ext>
      </extLst>
    </cacheField>
    <cacheField name="Dummy1" numFmtId="0" hierarchy="149" level="32767">
      <extLst>
        <ext xmlns:x14="http://schemas.microsoft.com/office/spreadsheetml/2009/9/main" uri="{63CAB8AC-B538-458d-9737-405883B0398D}">
          <x14:cacheField ignore="1"/>
        </ext>
      </extLst>
    </cacheField>
  </cacheFields>
  <cacheHierarchies count="15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0" unbalanced="0"/>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caption="Guarantee" attribute="1" defaultMemberUniqueName="[Loan].[Guarantee].[All]" allUniqueName="[Loan].[Guarantee].[All]" dimensionUniqueName="[Loan]" displayFolder="" count="0" unbalanced="0"/>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Division Name Distinct Count]" caption="Division Name Distinct Count" measure="1" displayFolder="" measureGroup="Division Count" count="0"/>
    <cacheHierarchy uniqueName="[Measures].[Customer Sector Distinct Count]" caption="Customer Sector Distinct Count" measure="1" displayFolder="" measureGroup="Customer Sector Count" count="0"/>
    <cacheHierarchy uniqueName="[Measures].[Top5CustomerLoanAmount]" caption="Top5CustomerLoanAmount" measure="1" displayFolder="" measureGroup="View Fact Customer Loan Amount" count="0"/>
    <cacheHierarchy uniqueName="[Measures].[Top3CustomerSectorLoanAmount]" caption="Top3CustomerSectorLoanAmount" measure="1" displayFolder="" measureGroup="View Fact Customer Sector Loan Am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5">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5">
    <measureGroup name="Customer Sector Count" caption="Customer Sector Count"/>
    <measureGroup name="Division Count" caption="Division Count"/>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Customer Loan Amount" caption="View Fact Customer Loan Amount"/>
    <measureGroup name="View Fact Customer Sector Loan Amount" caption="View Fact Customer Sector Loan Amount"/>
    <measureGroup name="View Fact Loan" caption="View Fact Loan"/>
    <measureGroup name="View Fact Loan Customer" caption="View Fact Loan Customer"/>
    <measureGroup name="View Loan Main Customer" caption="View Loan Main Customer"/>
  </measureGroups>
  <maps count="69">
    <map measureGroup="0" dimension="0"/>
    <map measureGroup="0" dimension="1"/>
    <map measureGroup="0" dimension="2"/>
    <map measureGroup="0" dimension="5"/>
    <map measureGroup="0" dimension="6"/>
    <map measureGroup="0" dimension="7"/>
    <map measureGroup="0" dimension="9"/>
    <map measureGroup="0" dimension="10"/>
    <map measureGroup="0" dimension="11"/>
    <map measureGroup="0" dimension="12"/>
    <map measureGroup="0" dimension="14"/>
    <map measureGroup="1" dimension="0"/>
    <map measureGroup="1" dimension="1"/>
    <map measureGroup="1" dimension="2"/>
    <map measureGroup="1" dimension="5"/>
    <map measureGroup="1" dimension="6"/>
    <map measureGroup="1" dimension="7"/>
    <map measureGroup="1" dimension="9"/>
    <map measureGroup="1" dimension="10"/>
    <map measureGroup="1" dimension="11"/>
    <map measureGroup="1" dimension="12"/>
    <map measureGroup="1" dimension="14"/>
    <map measureGroup="2" dimension="3"/>
    <map measureGroup="3" dimension="1"/>
    <map measureGroup="3" dimension="9"/>
    <map measureGroup="3" dimension="14"/>
    <map measureGroup="4" dimension="6"/>
    <map measureGroup="4" dimension="9"/>
    <map measureGroup="4" dimension="14"/>
    <map measureGroup="5" dimension="1"/>
    <map measureGroup="5" dimension="5"/>
    <map measureGroup="5" dimension="9"/>
    <map measureGroup="5" dimension="14"/>
    <map measureGroup="6" dimension="9"/>
    <map measureGroup="6" dimension="14"/>
    <map measureGroup="7" dimension="9"/>
    <map measureGroup="7" dimension="14"/>
    <map measureGroup="8" dimension="5"/>
    <map measureGroup="8" dimension="9"/>
    <map measureGroup="8" dimension="14"/>
    <map measureGroup="9" dimension="9"/>
    <map measureGroup="9" dimension="14"/>
    <map measureGroup="10" dimension="1"/>
    <map measureGroup="10" dimension="2"/>
    <map measureGroup="10" dimension="9"/>
    <map measureGroup="10" dimension="14"/>
    <map measureGroup="11" dimension="1"/>
    <map measureGroup="11" dimension="2"/>
    <map measureGroup="11" dimension="9"/>
    <map measureGroup="11" dimension="13"/>
    <map measureGroup="11" dimension="14"/>
    <map measureGroup="12" dimension="0"/>
    <map measureGroup="12" dimension="1"/>
    <map measureGroup="12" dimension="2"/>
    <map measureGroup="12" dimension="5"/>
    <map measureGroup="12" dimension="6"/>
    <map measureGroup="12" dimension="7"/>
    <map measureGroup="12" dimension="9"/>
    <map measureGroup="12" dimension="10"/>
    <map measureGroup="12" dimension="11"/>
    <map measureGroup="12" dimension="12"/>
    <map measureGroup="12" dimension="14"/>
    <map measureGroup="13" dimension="1"/>
    <map measureGroup="13" dimension="2"/>
    <map measureGroup="13" dimension="6"/>
    <map measureGroup="13" dimension="9"/>
    <map measureGroup="13" dimension="14"/>
    <map measureGroup="14" dimension="9"/>
    <map measureGroup="14"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Local Dev" refreshedDate="42331.693080671299" backgroundQuery="1" createdVersion="5" refreshedVersion="5" minRefreshableVersion="3" recordCount="0" supportSubquery="1" supportAdvancedDrill="1">
  <cacheSource type="external" connectionId="1"/>
  <cacheFields count="11">
    <cacheField name="[Measures].[Current Principal Balance]" caption="Current Principal Balance" numFmtId="0" hierarchy="104" level="32767"/>
    <cacheField name="[Measures].[Loan Count]" caption="Loan Count" numFmtId="0" hierarchy="124" level="32767"/>
    <cacheField name="[Remaining Term Distribution].[Distributions Desc].[Distributions Desc]" caption="Distributions Desc" numFmtId="0" hierarchy="76" level="1" mappingCount="1">
      <sharedItems count="11">
        <s v="[Remaining Term Distribution].[Distributions Desc].&amp;[0-6 个月]" c="0-6 个月" cp="1">
          <x/>
        </s>
        <s v="[Remaining Term Distribution].[Distributions Desc].&amp;[6-12 个月]" c="6-12 个月" cp="1">
          <x v="1"/>
        </s>
        <s v="[Remaining Term Distribution].[Distributions Desc].&amp;[12-18 个月]" c="12-18 个月" cp="1">
          <x v="2"/>
        </s>
        <s v="[Remaining Term Distribution].[Distributions Desc].&amp;[18-24 个月]" c="18-24 个月" cp="1">
          <x v="3"/>
        </s>
        <s v="[Remaining Term Distribution].[Distributions Desc].&amp;[24-30 个月]" c="24-30 个月" cp="1">
          <x v="4"/>
        </s>
        <s v="[Remaining Term Distribution].[Distributions Desc].&amp;[30-36 个月]" c="30-36 个月" cp="1">
          <x v="5"/>
        </s>
        <s v="[Remaining Term Distribution].[Distributions Desc].&amp;[36-42 个月]" c="36-42 个月" cp="1">
          <x v="6"/>
        </s>
        <s v="[Remaining Term Distribution].[Distributions Desc].&amp;[42-48 个月]" c="42-48 个月" cp="1">
          <x v="7"/>
        </s>
        <s v="[Remaining Term Distribution].[Distributions Desc].&amp;[48-54 个月]" c="48-54 个月" cp="1">
          <x v="8"/>
        </s>
        <s v="[Remaining Term Distribution].[Distributions Desc].&amp;[60-66 个月]" c="60-66 个月" cp="1">
          <x v="9"/>
        </s>
        <s v="[Remaining Term Distribution].[Distributions Desc].&amp;[84-90 个月]" c="84-90 个月" cp="1">
          <x v="10"/>
        </s>
      </sharedItems>
      <mpMap v="3"/>
    </cacheField>
    <cacheField name="[Remaining Term Distribution].[Distributions Desc].[Distributions Desc].[Sort Key]" caption="Sort Key" propertyName="Sort Key" numFmtId="0" hierarchy="76" level="1" memberPropertyField="1">
      <sharedItems containsSemiMixedTypes="0" containsString="0" containsNumber="1" containsInteger="1" minValue="10" maxValue="150" count="11">
        <n v="10"/>
        <n v="20"/>
        <n v="30"/>
        <n v="40"/>
        <n v="50"/>
        <n v="60"/>
        <n v="70"/>
        <n v="80"/>
        <n v="90"/>
        <n v="110"/>
        <n v="150"/>
      </sharedItems>
    </cacheField>
    <cacheField name="[View Dim EC Pass].[EC Pass No].[EC Pass No]" caption="EC Pass No" numFmtId="0" hierarchy="83" level="1">
      <sharedItems containsSemiMixedTypes="0" containsString="0"/>
    </cacheField>
    <cacheField name="[Pool].[Dim Pool ID].[Dim Pool ID]" caption="Dim Pool ID" numFmtId="0" hierarchy="70" level="1">
      <sharedItems containsSemiMixedTypes="0" containsString="0"/>
    </cacheField>
    <cacheField name="[Pool].[Dim Pool ID].[Dim Pool ID].[Dim Organisation ID]" caption="Dim Organisation ID" propertyName="Dim Organisation ID" numFmtId="0" hierarchy="70" level="1" memberPropertyField="1">
      <sharedItems containsSemiMixedTypes="0" containsString="0"/>
    </cacheField>
    <cacheField name="[Pool].[Dim Pool ID].[Dim Pool ID].[Dim Reporting Date ID]" caption="Dim Reporting Date ID" propertyName="Dim Reporting Date ID" numFmtId="0" hierarchy="70" level="1" memberPropertyField="1">
      <sharedItems containsSemiMixedTypes="0" containsString="0"/>
    </cacheField>
    <cacheField name="[Pool].[Dim Pool ID].[Dim Pool ID].[Target Sql Connection]" caption="Target Sql Connection" propertyName="Target Sql Connection" numFmtId="0" hierarchy="70" level="1" memberPropertyField="1">
      <sharedItems containsSemiMixedTypes="0" containsString="0"/>
    </cacheField>
    <cacheField name="Dummy0" numFmtId="0" hierarchy="148" level="32767">
      <extLst>
        <ext xmlns:x14="http://schemas.microsoft.com/office/spreadsheetml/2009/9/main" uri="{63CAB8AC-B538-458d-9737-405883B0398D}">
          <x14:cacheField ignore="1"/>
        </ext>
      </extLst>
    </cacheField>
    <cacheField name="Dummy1" numFmtId="0" hierarchy="149" level="32767">
      <extLst>
        <ext xmlns:x14="http://schemas.microsoft.com/office/spreadsheetml/2009/9/main" uri="{63CAB8AC-B538-458d-9737-405883B0398D}">
          <x14:cacheField ignore="1"/>
        </ext>
      </extLst>
    </cacheField>
  </cacheFields>
  <cacheHierarchies count="15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0" unbalanced="0"/>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caption="Guarantee" attribute="1" defaultMemberUniqueName="[Loan].[Guarantee].[All]" allUniqueName="[Loan].[Guarantee].[All]" dimensionUniqueName="[Loan]" displayFolder="" count="0" unbalanced="0"/>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Division Name Distinct Count]" caption="Division Name Distinct Count" measure="1" displayFolder="" measureGroup="Division Count" count="0"/>
    <cacheHierarchy uniqueName="[Measures].[Customer Sector Distinct Count]" caption="Customer Sector Distinct Count" measure="1" displayFolder="" measureGroup="Customer Sector Count" count="0"/>
    <cacheHierarchy uniqueName="[Measures].[Top5CustomerLoanAmount]" caption="Top5CustomerLoanAmount" measure="1" displayFolder="" measureGroup="View Fact Customer Loan Amount" count="0"/>
    <cacheHierarchy uniqueName="[Measures].[Top3CustomerSectorLoanAmount]" caption="Top3CustomerSectorLoanAmount" measure="1" displayFolder="" measureGroup="View Fact Customer Sector Loan Am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5">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5">
    <measureGroup name="Customer Sector Count" caption="Customer Sector Count"/>
    <measureGroup name="Division Count" caption="Division Count"/>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Customer Loan Amount" caption="View Fact Customer Loan Amount"/>
    <measureGroup name="View Fact Customer Sector Loan Amount" caption="View Fact Customer Sector Loan Amount"/>
    <measureGroup name="View Fact Loan" caption="View Fact Loan"/>
    <measureGroup name="View Fact Loan Customer" caption="View Fact Loan Customer"/>
    <measureGroup name="View Loan Main Customer" caption="View Loan Main Customer"/>
  </measureGroups>
  <maps count="69">
    <map measureGroup="0" dimension="0"/>
    <map measureGroup="0" dimension="1"/>
    <map measureGroup="0" dimension="2"/>
    <map measureGroup="0" dimension="5"/>
    <map measureGroup="0" dimension="6"/>
    <map measureGroup="0" dimension="7"/>
    <map measureGroup="0" dimension="9"/>
    <map measureGroup="0" dimension="10"/>
    <map measureGroup="0" dimension="11"/>
    <map measureGroup="0" dimension="12"/>
    <map measureGroup="0" dimension="14"/>
    <map measureGroup="1" dimension="0"/>
    <map measureGroup="1" dimension="1"/>
    <map measureGroup="1" dimension="2"/>
    <map measureGroup="1" dimension="5"/>
    <map measureGroup="1" dimension="6"/>
    <map measureGroup="1" dimension="7"/>
    <map measureGroup="1" dimension="9"/>
    <map measureGroup="1" dimension="10"/>
    <map measureGroup="1" dimension="11"/>
    <map measureGroup="1" dimension="12"/>
    <map measureGroup="1" dimension="14"/>
    <map measureGroup="2" dimension="3"/>
    <map measureGroup="3" dimension="1"/>
    <map measureGroup="3" dimension="9"/>
    <map measureGroup="3" dimension="14"/>
    <map measureGroup="4" dimension="6"/>
    <map measureGroup="4" dimension="9"/>
    <map measureGroup="4" dimension="14"/>
    <map measureGroup="5" dimension="1"/>
    <map measureGroup="5" dimension="5"/>
    <map measureGroup="5" dimension="9"/>
    <map measureGroup="5" dimension="14"/>
    <map measureGroup="6" dimension="9"/>
    <map measureGroup="6" dimension="14"/>
    <map measureGroup="7" dimension="9"/>
    <map measureGroup="7" dimension="14"/>
    <map measureGroup="8" dimension="5"/>
    <map measureGroup="8" dimension="9"/>
    <map measureGroup="8" dimension="14"/>
    <map measureGroup="9" dimension="9"/>
    <map measureGroup="9" dimension="14"/>
    <map measureGroup="10" dimension="1"/>
    <map measureGroup="10" dimension="2"/>
    <map measureGroup="10" dimension="9"/>
    <map measureGroup="10" dimension="14"/>
    <map measureGroup="11" dimension="1"/>
    <map measureGroup="11" dimension="2"/>
    <map measureGroup="11" dimension="9"/>
    <map measureGroup="11" dimension="13"/>
    <map measureGroup="11" dimension="14"/>
    <map measureGroup="12" dimension="0"/>
    <map measureGroup="12" dimension="1"/>
    <map measureGroup="12" dimension="2"/>
    <map measureGroup="12" dimension="5"/>
    <map measureGroup="12" dimension="6"/>
    <map measureGroup="12" dimension="7"/>
    <map measureGroup="12" dimension="9"/>
    <map measureGroup="12" dimension="10"/>
    <map measureGroup="12" dimension="11"/>
    <map measureGroup="12" dimension="12"/>
    <map measureGroup="12" dimension="14"/>
    <map measureGroup="13" dimension="1"/>
    <map measureGroup="13" dimension="2"/>
    <map measureGroup="13" dimension="6"/>
    <map measureGroup="13" dimension="9"/>
    <map measureGroup="13" dimension="14"/>
    <map measureGroup="14" dimension="9"/>
    <map measureGroup="14"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Local Dev" refreshedDate="42331.693082523147" backgroundQuery="1" createdVersion="5" refreshedVersion="5" minRefreshableVersion="3" recordCount="0" supportSubquery="1" supportAdvancedDrill="1">
  <cacheSource type="external" connectionId="1"/>
  <cacheFields count="11">
    <cacheField name="[Loan Term Distribution].[Distributions Desc].[Distributions Desc]" caption="Distributions Desc" numFmtId="0" hierarchy="66" level="1" mappingCount="1">
      <sharedItems count="13">
        <s v="[Loan Term Distribution].[Distributions Desc].&amp;[6-12 个月]" c="6-12 个月" cp="1">
          <x/>
        </s>
        <s v="[Loan Term Distribution].[Distributions Desc].&amp;[12-18 个月]" c="12-18 个月" cp="1">
          <x v="1"/>
        </s>
        <s v="[Loan Term Distribution].[Distributions Desc].&amp;[18-24 个月]" c="18-24 个月" cp="1">
          <x v="2"/>
        </s>
        <s v="[Loan Term Distribution].[Distributions Desc].&amp;[24-30 个月]" c="24-30 个月" cp="1">
          <x v="3"/>
        </s>
        <s v="[Loan Term Distribution].[Distributions Desc].&amp;[30-36 个月]" c="30-36 个月" cp="1">
          <x v="4"/>
        </s>
        <s v="[Loan Term Distribution].[Distributions Desc].&amp;[36-42 个月]" c="36-42 个月" cp="1">
          <x v="5"/>
        </s>
        <s v="[Loan Term Distribution].[Distributions Desc].&amp;[42-48 个月]" c="42-48 个月" cp="1">
          <x v="6"/>
        </s>
        <s v="[Loan Term Distribution].[Distributions Desc].&amp;[48-54 个月]" c="48-54 个月" cp="1">
          <x v="7"/>
        </s>
        <s v="[Loan Term Distribution].[Distributions Desc].&amp;[54-60 个月]" c="54-60 个月" cp="1">
          <x v="8"/>
        </s>
        <s v="[Loan Term Distribution].[Distributions Desc].&amp;[60-66 个月]" c="60-66 个月" cp="1">
          <x v="9"/>
        </s>
        <s v="[Loan Term Distribution].[Distributions Desc].&amp;[90-96 个月]" c="90-96 个月" cp="1">
          <x v="10"/>
        </s>
        <s v="[Loan Term Distribution].[Distributions Desc].&amp;[102-108 个月]" c="102-108 个月" cp="1">
          <x v="11"/>
        </s>
        <s v="[Loan Term Distribution].[Distributions Desc].&amp;[114-120 个月]" c="114-120 个月" cp="1">
          <x v="12"/>
        </s>
      </sharedItems>
      <mpMap v="1"/>
    </cacheField>
    <cacheField name="[Loan Term Distribution].[Distributions Desc].[Distributions Desc].[Sort Key]" caption="Sort Key" propertyName="Sort Key" numFmtId="0" hierarchy="66" level="1" memberPropertyField="1">
      <sharedItems containsSemiMixedTypes="0" containsString="0" containsNumber="1" containsInteger="1" minValue="20" maxValue="200" count="13">
        <n v="20"/>
        <n v="30"/>
        <n v="40"/>
        <n v="50"/>
        <n v="60"/>
        <n v="70"/>
        <n v="80"/>
        <n v="90"/>
        <n v="100"/>
        <n v="110"/>
        <n v="160"/>
        <n v="180"/>
        <n v="200"/>
      </sharedItems>
    </cacheField>
    <cacheField name="[Measures].[Current Principal Balance]" caption="Current Principal Balance" numFmtId="0" hierarchy="104" level="32767"/>
    <cacheField name="[Measures].[Loan Count]" caption="Loan Count" numFmtId="0" hierarchy="124" level="32767"/>
    <cacheField name="[View Dim EC Pass].[EC Pass No].[EC Pass No]" caption="EC Pass No" numFmtId="0" hierarchy="83" level="1">
      <sharedItems containsSemiMixedTypes="0" containsString="0"/>
    </cacheField>
    <cacheField name="[Pool].[Dim Pool ID].[Dim Pool ID]" caption="Dim Pool ID" numFmtId="0" hierarchy="70" level="1">
      <sharedItems containsSemiMixedTypes="0" containsString="0"/>
    </cacheField>
    <cacheField name="[Pool].[Dim Pool ID].[Dim Pool ID].[Dim Organisation ID]" caption="Dim Organisation ID" propertyName="Dim Organisation ID" numFmtId="0" hierarchy="70" level="1" memberPropertyField="1">
      <sharedItems containsSemiMixedTypes="0" containsString="0"/>
    </cacheField>
    <cacheField name="[Pool].[Dim Pool ID].[Dim Pool ID].[Dim Reporting Date ID]" caption="Dim Reporting Date ID" propertyName="Dim Reporting Date ID" numFmtId="0" hierarchy="70" level="1" memberPropertyField="1">
      <sharedItems containsSemiMixedTypes="0" containsString="0"/>
    </cacheField>
    <cacheField name="[Pool].[Dim Pool ID].[Dim Pool ID].[Target Sql Connection]" caption="Target Sql Connection" propertyName="Target Sql Connection" numFmtId="0" hierarchy="70" level="1" memberPropertyField="1">
      <sharedItems containsSemiMixedTypes="0" containsString="0"/>
    </cacheField>
    <cacheField name="Dummy0" numFmtId="0" hierarchy="148" level="32767">
      <extLst>
        <ext xmlns:x14="http://schemas.microsoft.com/office/spreadsheetml/2009/9/main" uri="{63CAB8AC-B538-458d-9737-405883B0398D}">
          <x14:cacheField ignore="1"/>
        </ext>
      </extLst>
    </cacheField>
    <cacheField name="Dummy1" numFmtId="0" hierarchy="149" level="32767">
      <extLst>
        <ext xmlns:x14="http://schemas.microsoft.com/office/spreadsheetml/2009/9/main" uri="{63CAB8AC-B538-458d-9737-405883B0398D}">
          <x14:cacheField ignore="1"/>
        </ext>
      </extLst>
    </cacheField>
  </cacheFields>
  <cacheHierarchies count="15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0" unbalanced="0"/>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caption="Guarantee" attribute="1" defaultMemberUniqueName="[Loan].[Guarantee].[All]" allUniqueName="[Loan].[Guarantee].[All]" dimensionUniqueName="[Loan]" displayFolder="" count="0" unbalanced="0"/>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2"/>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3"/>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Division Name Distinct Count]" caption="Division Name Distinct Count" measure="1" displayFolder="" measureGroup="Division Count" count="0"/>
    <cacheHierarchy uniqueName="[Measures].[Customer Sector Distinct Count]" caption="Customer Sector Distinct Count" measure="1" displayFolder="" measureGroup="Customer Sector Count" count="0"/>
    <cacheHierarchy uniqueName="[Measures].[Top5CustomerLoanAmount]" caption="Top5CustomerLoanAmount" measure="1" displayFolder="" measureGroup="View Fact Customer Loan Amount" count="0"/>
    <cacheHierarchy uniqueName="[Measures].[Top3CustomerSectorLoanAmount]" caption="Top3CustomerSectorLoanAmount" measure="1" displayFolder="" measureGroup="View Fact Customer Sector Loan Am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5">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5">
    <measureGroup name="Customer Sector Count" caption="Customer Sector Count"/>
    <measureGroup name="Division Count" caption="Division Count"/>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Customer Loan Amount" caption="View Fact Customer Loan Amount"/>
    <measureGroup name="View Fact Customer Sector Loan Amount" caption="View Fact Customer Sector Loan Amount"/>
    <measureGroup name="View Fact Loan" caption="View Fact Loan"/>
    <measureGroup name="View Fact Loan Customer" caption="View Fact Loan Customer"/>
    <measureGroup name="View Loan Main Customer" caption="View Loan Main Customer"/>
  </measureGroups>
  <maps count="69">
    <map measureGroup="0" dimension="0"/>
    <map measureGroup="0" dimension="1"/>
    <map measureGroup="0" dimension="2"/>
    <map measureGroup="0" dimension="5"/>
    <map measureGroup="0" dimension="6"/>
    <map measureGroup="0" dimension="7"/>
    <map measureGroup="0" dimension="9"/>
    <map measureGroup="0" dimension="10"/>
    <map measureGroup="0" dimension="11"/>
    <map measureGroup="0" dimension="12"/>
    <map measureGroup="0" dimension="14"/>
    <map measureGroup="1" dimension="0"/>
    <map measureGroup="1" dimension="1"/>
    <map measureGroup="1" dimension="2"/>
    <map measureGroup="1" dimension="5"/>
    <map measureGroup="1" dimension="6"/>
    <map measureGroup="1" dimension="7"/>
    <map measureGroup="1" dimension="9"/>
    <map measureGroup="1" dimension="10"/>
    <map measureGroup="1" dimension="11"/>
    <map measureGroup="1" dimension="12"/>
    <map measureGroup="1" dimension="14"/>
    <map measureGroup="2" dimension="3"/>
    <map measureGroup="3" dimension="1"/>
    <map measureGroup="3" dimension="9"/>
    <map measureGroup="3" dimension="14"/>
    <map measureGroup="4" dimension="6"/>
    <map measureGroup="4" dimension="9"/>
    <map measureGroup="4" dimension="14"/>
    <map measureGroup="5" dimension="1"/>
    <map measureGroup="5" dimension="5"/>
    <map measureGroup="5" dimension="9"/>
    <map measureGroup="5" dimension="14"/>
    <map measureGroup="6" dimension="9"/>
    <map measureGroup="6" dimension="14"/>
    <map measureGroup="7" dimension="9"/>
    <map measureGroup="7" dimension="14"/>
    <map measureGroup="8" dimension="5"/>
    <map measureGroup="8" dimension="9"/>
    <map measureGroup="8" dimension="14"/>
    <map measureGroup="9" dimension="9"/>
    <map measureGroup="9" dimension="14"/>
    <map measureGroup="10" dimension="1"/>
    <map measureGroup="10" dimension="2"/>
    <map measureGroup="10" dimension="9"/>
    <map measureGroup="10" dimension="14"/>
    <map measureGroup="11" dimension="1"/>
    <map measureGroup="11" dimension="2"/>
    <map measureGroup="11" dimension="9"/>
    <map measureGroup="11" dimension="13"/>
    <map measureGroup="11" dimension="14"/>
    <map measureGroup="12" dimension="0"/>
    <map measureGroup="12" dimension="1"/>
    <map measureGroup="12" dimension="2"/>
    <map measureGroup="12" dimension="5"/>
    <map measureGroup="12" dimension="6"/>
    <map measureGroup="12" dimension="7"/>
    <map measureGroup="12" dimension="9"/>
    <map measureGroup="12" dimension="10"/>
    <map measureGroup="12" dimension="11"/>
    <map measureGroup="12" dimension="12"/>
    <map measureGroup="12" dimension="14"/>
    <map measureGroup="13" dimension="1"/>
    <map measureGroup="13" dimension="2"/>
    <map measureGroup="13" dimension="6"/>
    <map measureGroup="13" dimension="9"/>
    <map measureGroup="13" dimension="14"/>
    <map measureGroup="14" dimension="9"/>
    <map measureGroup="14"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Local Dev" refreshedDate="42331.693085069448" backgroundQuery="1" createdVersion="5" refreshedVersion="5" minRefreshableVersion="3" recordCount="0" supportSubquery="1" supportAdvancedDrill="1">
  <cacheSource type="external" connectionId="1"/>
  <cacheFields count="6">
    <cacheField name="[Measures].[Fact Report Count]" caption="Fact Report Count" numFmtId="0" hierarchy="130" level="32767"/>
    <cacheField name="[Dimension Function].[Report ID].[Report ID]" caption="Report ID" numFmtId="0" hierarchy="28" level="1">
      <sharedItems count="2">
        <s v="[Dimension Function].[Report ID].&amp;[2]" c="现金流归集报表"/>
        <s v="[Dimension Function].[Report ID].&amp;[1]" c="评级机构资产池详细报表"/>
      </sharedItems>
    </cacheField>
    <cacheField name="[Pool].[Dim Pool ID].[Dim Pool ID]" caption="Dim Pool ID" numFmtId="0" hierarchy="70" level="1" mappingCount="3">
      <sharedItems count="1">
        <s v="[Pool].[Dim Pool ID].&amp;[10208]" c="10208" cp="3">
          <x/>
          <x/>
          <x/>
        </s>
      </sharedItems>
      <mpMap v="3"/>
      <mpMap v="4"/>
      <mpMap v="5"/>
    </cacheField>
    <cacheField name="[Pool].[Dim Pool ID].[Dim Pool ID].[Dim Organisation ID]" caption="Dim Organisation ID" propertyName="Dim Organisation ID" numFmtId="0" hierarchy="70"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70" level="1" memberPropertyField="1">
      <sharedItems containsSemiMixedTypes="0" containsString="0" containsNumber="1" containsInteger="1" minValue="20151102" maxValue="20151102" count="1">
        <n v="20151102"/>
      </sharedItems>
    </cacheField>
    <cacheField name="[Pool].[Dim Pool ID].[Dim Pool ID].[Target Sql Connection]" caption="Target Sql Connection" propertyName="Target Sql Connection" numFmtId="0" hierarchy="70" level="1" memberPropertyField="1">
      <sharedItems count="1">
        <s v="Data Source=DAL_SEC;Initial Catalog=Job_2_20151102_10208;Integrated Security=SSPI;"/>
      </sharedItems>
    </cacheField>
  </cacheFields>
  <cacheHierarchies count="148">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0" unbalanced="0"/>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caption="Guarantee" attribute="1" defaultMemberUniqueName="[Loan].[Guarantee].[All]" allUniqueName="[Loan].[Guarantee].[All]" dimensionUniqueName="[Loan]" displayFolder="" count="0" unbalanced="0"/>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oneField="1">
      <fieldsUsage count="1">
        <fieldUsage x="0"/>
      </fieldsUsage>
    </cacheHierarchy>
    <cacheHierarchy uniqueName="[Measures].[Tbl Fact Customer EC Result Count]" caption="Tbl Fact Customer EC Result Count" measure="1" displayFolder="" measureGroup="Tbl Fact Customer EC Result" count="0"/>
    <cacheHierarchy uniqueName="[Measures].[Division Name Distinct Count]" caption="Division Name Distinct Count" measure="1" displayFolder="" measureGroup="Division Count" count="0"/>
    <cacheHierarchy uniqueName="[Measures].[Customer Sector Distinct Count]" caption="Customer Sector Distinct Count" measure="1" displayFolder="" measureGroup="Customer Sector Count" count="0"/>
    <cacheHierarchy uniqueName="[Measures].[Top5CustomerLoanAmount]" caption="Top5CustomerLoanAmount" measure="1" displayFolder="" measureGroup="View Fact Customer Loan Amount" count="0"/>
    <cacheHierarchy uniqueName="[Measures].[Top3CustomerSectorLoanAmount]" caption="Top3CustomerSectorLoanAmount" measure="1" displayFolder="" measureGroup="View Fact Customer Sector Loan Am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ies>
  <kpis count="0"/>
  <dimensions count="15">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5">
    <measureGroup name="Customer Sector Count" caption="Customer Sector Count"/>
    <measureGroup name="Division Count" caption="Division Count"/>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Customer Loan Amount" caption="View Fact Customer Loan Amount"/>
    <measureGroup name="View Fact Customer Sector Loan Amount" caption="View Fact Customer Sector Loan Amount"/>
    <measureGroup name="View Fact Loan" caption="View Fact Loan"/>
    <measureGroup name="View Fact Loan Customer" caption="View Fact Loan Customer"/>
    <measureGroup name="View Loan Main Customer" caption="View Loan Main Customer"/>
  </measureGroups>
  <maps count="69">
    <map measureGroup="0" dimension="0"/>
    <map measureGroup="0" dimension="1"/>
    <map measureGroup="0" dimension="2"/>
    <map measureGroup="0" dimension="5"/>
    <map measureGroup="0" dimension="6"/>
    <map measureGroup="0" dimension="7"/>
    <map measureGroup="0" dimension="9"/>
    <map measureGroup="0" dimension="10"/>
    <map measureGroup="0" dimension="11"/>
    <map measureGroup="0" dimension="12"/>
    <map measureGroup="0" dimension="14"/>
    <map measureGroup="1" dimension="0"/>
    <map measureGroup="1" dimension="1"/>
    <map measureGroup="1" dimension="2"/>
    <map measureGroup="1" dimension="5"/>
    <map measureGroup="1" dimension="6"/>
    <map measureGroup="1" dimension="7"/>
    <map measureGroup="1" dimension="9"/>
    <map measureGroup="1" dimension="10"/>
    <map measureGroup="1" dimension="11"/>
    <map measureGroup="1" dimension="12"/>
    <map measureGroup="1" dimension="14"/>
    <map measureGroup="2" dimension="3"/>
    <map measureGroup="3" dimension="1"/>
    <map measureGroup="3" dimension="9"/>
    <map measureGroup="3" dimension="14"/>
    <map measureGroup="4" dimension="6"/>
    <map measureGroup="4" dimension="9"/>
    <map measureGroup="4" dimension="14"/>
    <map measureGroup="5" dimension="1"/>
    <map measureGroup="5" dimension="5"/>
    <map measureGroup="5" dimension="9"/>
    <map measureGroup="5" dimension="14"/>
    <map measureGroup="6" dimension="9"/>
    <map measureGroup="6" dimension="14"/>
    <map measureGroup="7" dimension="9"/>
    <map measureGroup="7" dimension="14"/>
    <map measureGroup="8" dimension="5"/>
    <map measureGroup="8" dimension="9"/>
    <map measureGroup="8" dimension="14"/>
    <map measureGroup="9" dimension="9"/>
    <map measureGroup="9" dimension="14"/>
    <map measureGroup="10" dimension="1"/>
    <map measureGroup="10" dimension="2"/>
    <map measureGroup="10" dimension="9"/>
    <map measureGroup="10" dimension="14"/>
    <map measureGroup="11" dimension="1"/>
    <map measureGroup="11" dimension="2"/>
    <map measureGroup="11" dimension="9"/>
    <map measureGroup="11" dimension="13"/>
    <map measureGroup="11" dimension="14"/>
    <map measureGroup="12" dimension="0"/>
    <map measureGroup="12" dimension="1"/>
    <map measureGroup="12" dimension="2"/>
    <map measureGroup="12" dimension="5"/>
    <map measureGroup="12" dimension="6"/>
    <map measureGroup="12" dimension="7"/>
    <map measureGroup="12" dimension="9"/>
    <map measureGroup="12" dimension="10"/>
    <map measureGroup="12" dimension="11"/>
    <map measureGroup="12" dimension="12"/>
    <map measureGroup="12" dimension="14"/>
    <map measureGroup="13" dimension="1"/>
    <map measureGroup="13" dimension="2"/>
    <map measureGroup="13" dimension="6"/>
    <map measureGroup="13" dimension="9"/>
    <map measureGroup="13" dimension="14"/>
    <map measureGroup="14" dimension="9"/>
    <map measureGroup="14"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Local Dev" refreshedDate="42331.693086689818"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87" level="32767"/>
    <cacheField name="[Pool].[Dim Pool ID].[Dim Pool ID]" caption="Dim Pool ID" numFmtId="0" hierarchy="70" level="1" mappingCount="3">
      <sharedItems count="1">
        <s v="[Pool].[Dim Pool ID].&amp;[10208]" c="10208" cp="3">
          <x/>
          <x/>
          <x/>
        </s>
      </sharedItems>
      <mpMap v="2"/>
      <mpMap v="3"/>
      <mpMap v="4"/>
    </cacheField>
    <cacheField name="[Pool].[Dim Pool ID].[Dim Pool ID].[Dim Organisation ID]" caption="Dim Organisation ID" propertyName="Dim Organisation ID" numFmtId="0" hierarchy="70"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70" level="1" memberPropertyField="1">
      <sharedItems containsSemiMixedTypes="0" containsString="0" containsNumber="1" containsInteger="1" minValue="20151102" maxValue="20151102" count="1">
        <n v="20151102"/>
      </sharedItems>
    </cacheField>
    <cacheField name="[Pool].[Dim Pool ID].[Dim Pool ID].[Target Sql Connection]" caption="Target Sql Connection" propertyName="Target Sql Connection" numFmtId="0" hierarchy="70" level="1" memberPropertyField="1">
      <sharedItems count="1">
        <s v="Data Source=DAL_SEC;Initial Catalog=Job_2_20151102_10208;Integrated Security=SSPI;"/>
      </sharedItems>
    </cacheField>
    <cacheField name="[EC].[Criteria ID].[Criteria ID]" caption="Criteria ID" numFmtId="0" hierarchy="32" level="1" mappingCount="6">
      <sharedItems count="2">
        <s v="[EC].[Criteria ID].&amp;[10208]&amp;[60]" c="排除利率标准未符合的贷款" cp="6">
          <x/>
          <x/>
          <x/>
          <x/>
          <x/>
          <x/>
        </s>
        <s v="[EC].[Criteria ID].&amp;[10208]&amp;[68]" c="排除特殊的客户所属行业" cp="6">
          <x v="1"/>
          <x v="1"/>
          <x/>
          <x v="1"/>
          <x/>
          <x v="1"/>
        </s>
      </sharedItems>
      <mpMap v="6"/>
      <mpMap v="7"/>
      <mpMap v="8"/>
      <mpMap v="9"/>
      <mpMap v="10"/>
      <mpMap v="11"/>
    </cacheField>
    <cacheField name="[EC].[Criteria ID].[Criteria ID].[Criteria Description]" caption="Criteria Description" propertyName="Criteria Description" numFmtId="0" hierarchy="32" level="1" memberPropertyField="1">
      <sharedItems count="2">
        <s v="排除利率标准未符合的贷款"/>
        <s v="排除特殊的客户所属行业"/>
      </sharedItems>
    </cacheField>
    <cacheField name="[EC].[Criteria ID].[Criteria ID].[Criteria Report Type]" caption="Criteria Report Type" propertyName="Criteria Report Type" numFmtId="0" hierarchy="32" level="1" memberPropertyField="1">
      <sharedItems count="2">
        <s v="Loan EC Report"/>
        <s v="Customer EC Report"/>
      </sharedItems>
    </cacheField>
    <cacheField name="[EC].[Criteria ID].[Criteria ID].[Criteria Set]" caption="Criteria Set" propertyName="Criteria Set" numFmtId="0" hierarchy="32" level="1" memberPropertyField="1">
      <sharedItems count="1">
        <s v="ECSetNZDDefault"/>
      </sharedItems>
    </cacheField>
    <cacheField name="[EC].[Criteria ID].[Criteria ID].[Criteria Type]" caption="Criteria Type" propertyName="Criteria Type" numFmtId="0" hierarchy="32" level="1" memberPropertyField="1">
      <sharedItems count="2">
        <s v="Product"/>
        <s v="Customer"/>
      </sharedItems>
    </cacheField>
    <cacheField name="[EC].[Criteria ID].[Criteria ID].[EC Pass]" caption="EC Pass" propertyName="EC Pass" numFmtId="0" hierarchy="32" level="1" memberPropertyField="1">
      <sharedItems count="1">
        <s v="ECPass1"/>
      </sharedItems>
    </cacheField>
    <cacheField name="[EC].[Criteria ID].[Criteria ID].[Sequence No]" caption="Sequence No" propertyName="Sequence No" numFmtId="0" hierarchy="32" level="1" memberPropertyField="1">
      <sharedItems containsSemiMixedTypes="0" containsString="0" containsNumber="1" containsInteger="1" minValue="18" maxValue="29" count="2">
        <n v="18"/>
        <n v="29"/>
      </sharedItems>
    </cacheField>
    <cacheField name="[View Dim EC Pass].[EC Pass No].[EC Pass No]" caption="EC Pass No" numFmtId="0" hierarchy="83" level="1">
      <sharedItems containsSemiMixedTypes="0" containsString="0"/>
    </cacheField>
    <cacheField name="[Measures].[Tbl Fact Customer EC Result Count]" caption="Tbl Fact Customer EC Result Count" numFmtId="0" hierarchy="131" level="32767"/>
  </cacheFields>
  <cacheHierarchies count="148">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0" unbalanced="0"/>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caption="Guarantee" attribute="1" defaultMemberUniqueName="[Loan].[Guarantee].[All]" allUniqueName="[Loan].[Guarantee].[All]" dimensionUniqueName="[Loan]" displayFolder="" count="0" unbalanced="0"/>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Division Name Distinct Count]" caption="Division Name Distinct Count" measure="1" displayFolder="" measureGroup="Division Count" count="0"/>
    <cacheHierarchy uniqueName="[Measures].[Customer Sector Distinct Count]" caption="Customer Sector Distinct Count" measure="1" displayFolder="" measureGroup="Customer Sector Count" count="0"/>
    <cacheHierarchy uniqueName="[Measures].[Top5CustomerLoanAmount]" caption="Top5CustomerLoanAmount" measure="1" displayFolder="" measureGroup="View Fact Customer Loan Amount" count="0"/>
    <cacheHierarchy uniqueName="[Measures].[Top3CustomerSectorLoanAmount]" caption="Top3CustomerSectorLoanAmount" measure="1" displayFolder="" measureGroup="View Fact Customer Sector Loan Am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ies>
  <kpis count="0"/>
  <dimensions count="15">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5">
    <measureGroup name="Customer Sector Count" caption="Customer Sector Count"/>
    <measureGroup name="Division Count" caption="Division Count"/>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Customer Loan Amount" caption="View Fact Customer Loan Amount"/>
    <measureGroup name="View Fact Customer Sector Loan Amount" caption="View Fact Customer Sector Loan Amount"/>
    <measureGroup name="View Fact Loan" caption="View Fact Loan"/>
    <measureGroup name="View Fact Loan Customer" caption="View Fact Loan Customer"/>
    <measureGroup name="View Loan Main Customer" caption="View Loan Main Customer"/>
  </measureGroups>
  <maps count="69">
    <map measureGroup="0" dimension="0"/>
    <map measureGroup="0" dimension="1"/>
    <map measureGroup="0" dimension="2"/>
    <map measureGroup="0" dimension="5"/>
    <map measureGroup="0" dimension="6"/>
    <map measureGroup="0" dimension="7"/>
    <map measureGroup="0" dimension="9"/>
    <map measureGroup="0" dimension="10"/>
    <map measureGroup="0" dimension="11"/>
    <map measureGroup="0" dimension="12"/>
    <map measureGroup="0" dimension="14"/>
    <map measureGroup="1" dimension="0"/>
    <map measureGroup="1" dimension="1"/>
    <map measureGroup="1" dimension="2"/>
    <map measureGroup="1" dimension="5"/>
    <map measureGroup="1" dimension="6"/>
    <map measureGroup="1" dimension="7"/>
    <map measureGroup="1" dimension="9"/>
    <map measureGroup="1" dimension="10"/>
    <map measureGroup="1" dimension="11"/>
    <map measureGroup="1" dimension="12"/>
    <map measureGroup="1" dimension="14"/>
    <map measureGroup="2" dimension="3"/>
    <map measureGroup="3" dimension="1"/>
    <map measureGroup="3" dimension="9"/>
    <map measureGroup="3" dimension="14"/>
    <map measureGroup="4" dimension="6"/>
    <map measureGroup="4" dimension="9"/>
    <map measureGroup="4" dimension="14"/>
    <map measureGroup="5" dimension="1"/>
    <map measureGroup="5" dimension="5"/>
    <map measureGroup="5" dimension="9"/>
    <map measureGroup="5" dimension="14"/>
    <map measureGroup="6" dimension="9"/>
    <map measureGroup="6" dimension="14"/>
    <map measureGroup="7" dimension="9"/>
    <map measureGroup="7" dimension="14"/>
    <map measureGroup="8" dimension="5"/>
    <map measureGroup="8" dimension="9"/>
    <map measureGroup="8" dimension="14"/>
    <map measureGroup="9" dimension="9"/>
    <map measureGroup="9" dimension="14"/>
    <map measureGroup="10" dimension="1"/>
    <map measureGroup="10" dimension="2"/>
    <map measureGroup="10" dimension="9"/>
    <map measureGroup="10" dimension="14"/>
    <map measureGroup="11" dimension="1"/>
    <map measureGroup="11" dimension="2"/>
    <map measureGroup="11" dimension="9"/>
    <map measureGroup="11" dimension="13"/>
    <map measureGroup="11" dimension="14"/>
    <map measureGroup="12" dimension="0"/>
    <map measureGroup="12" dimension="1"/>
    <map measureGroup="12" dimension="2"/>
    <map measureGroup="12" dimension="5"/>
    <map measureGroup="12" dimension="6"/>
    <map measureGroup="12" dimension="7"/>
    <map measureGroup="12" dimension="9"/>
    <map measureGroup="12" dimension="10"/>
    <map measureGroup="12" dimension="11"/>
    <map measureGroup="12" dimension="12"/>
    <map measureGroup="12" dimension="14"/>
    <map measureGroup="13" dimension="1"/>
    <map measureGroup="13" dimension="2"/>
    <map measureGroup="13" dimension="6"/>
    <map measureGroup="13" dimension="9"/>
    <map measureGroup="13" dimension="14"/>
    <map measureGroup="14" dimension="9"/>
    <map measureGroup="14"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Local Dev" refreshedDate="42331.693088888889" backgroundQuery="1" createdVersion="4" refreshedVersion="5" minRefreshableVersion="3" recordCount="0" supportSubquery="1" supportAdvancedDrill="1">
  <cacheSource type="external" connectionId="1"/>
  <cacheFields count="5">
    <cacheField name="[Pool].[Dim Pool ID].[Dim Pool ID]" caption="Dim Pool ID" numFmtId="0" hierarchy="70" level="1">
      <sharedItems containsSemiMixedTypes="0" containsString="0"/>
    </cacheField>
    <cacheField name="[Pool].[Dim Pool ID].[Dim Pool ID].[Dim Organisation ID]" caption="Dim Organisation ID" propertyName="Dim Organisation ID" numFmtId="0" hierarchy="70" level="1" memberPropertyField="1">
      <sharedItems containsSemiMixedTypes="0" containsString="0"/>
    </cacheField>
    <cacheField name="[Pool].[Dim Pool ID].[Dim Pool ID].[Dim Reporting Date ID]" caption="Dim Reporting Date ID" propertyName="Dim Reporting Date ID" numFmtId="0" hierarchy="70" level="1" memberPropertyField="1">
      <sharedItems containsSemiMixedTypes="0" containsString="0"/>
    </cacheField>
    <cacheField name="[Pool].[Dim Pool ID].[Dim Pool ID].[Target Sql Connection]" caption="Target Sql Connection" propertyName="Target Sql Connection" numFmtId="0" hierarchy="70" level="1" memberPropertyField="1">
      <sharedItems containsSemiMixedTypes="0" containsString="0"/>
    </cacheField>
    <cacheField name="[View Dim EC Pass].[EC Pass No].[EC Pass No]" caption="EC Pass No" numFmtId="0" hierarchy="83" level="1">
      <sharedItems containsSemiMixedTypes="0" containsString="0"/>
    </cacheField>
  </cacheFields>
  <cacheHierarchies count="148">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0" unbalanced="0"/>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caption="Guarantee" attribute="1" defaultMemberUniqueName="[Loan].[Guarantee].[All]" allUniqueName="[Loan].[Guarantee].[All]" dimensionUniqueName="[Loan]" displayFolder="" count="0" unbalanced="0"/>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Division Name Distinct Count]" caption="Division Name Distinct Count" measure="1" displayFolder="" measureGroup="Division Count" count="0"/>
    <cacheHierarchy uniqueName="[Measures].[Customer Sector Distinct Count]" caption="Customer Sector Distinct Count" measure="1" displayFolder="" measureGroup="Customer Sector Count" count="0"/>
    <cacheHierarchy uniqueName="[Measures].[Top5CustomerLoanAmount]" caption="Top5CustomerLoanAmount" measure="1" displayFolder="" measureGroup="View Fact Customer Loan Amount" count="0"/>
    <cacheHierarchy uniqueName="[Measures].[Top3CustomerSectorLoanAmount]" caption="Top3CustomerSectorLoanAmount" measure="1" displayFolder="" measureGroup="View Fact Customer Sector Loan Am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ies>
  <kpis count="0"/>
  <dimensions count="15">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5">
    <measureGroup name="Customer Sector Count" caption="Customer Sector Count"/>
    <measureGroup name="Division Count" caption="Division Count"/>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Customer Loan Amount" caption="View Fact Customer Loan Amount"/>
    <measureGroup name="View Fact Customer Sector Loan Amount" caption="View Fact Customer Sector Loan Amount"/>
    <measureGroup name="View Fact Loan" caption="View Fact Loan"/>
    <measureGroup name="View Fact Loan Customer" caption="View Fact Loan Customer"/>
    <measureGroup name="View Loan Main Customer" caption="View Loan Main Customer"/>
  </measureGroups>
  <maps count="69">
    <map measureGroup="0" dimension="0"/>
    <map measureGroup="0" dimension="1"/>
    <map measureGroup="0" dimension="2"/>
    <map measureGroup="0" dimension="5"/>
    <map measureGroup="0" dimension="6"/>
    <map measureGroup="0" dimension="7"/>
    <map measureGroup="0" dimension="9"/>
    <map measureGroup="0" dimension="10"/>
    <map measureGroup="0" dimension="11"/>
    <map measureGroup="0" dimension="12"/>
    <map measureGroup="0" dimension="14"/>
    <map measureGroup="1" dimension="0"/>
    <map measureGroup="1" dimension="1"/>
    <map measureGroup="1" dimension="2"/>
    <map measureGroup="1" dimension="5"/>
    <map measureGroup="1" dimension="6"/>
    <map measureGroup="1" dimension="7"/>
    <map measureGroup="1" dimension="9"/>
    <map measureGroup="1" dimension="10"/>
    <map measureGroup="1" dimension="11"/>
    <map measureGroup="1" dimension="12"/>
    <map measureGroup="1" dimension="14"/>
    <map measureGroup="2" dimension="3"/>
    <map measureGroup="3" dimension="1"/>
    <map measureGroup="3" dimension="9"/>
    <map measureGroup="3" dimension="14"/>
    <map measureGroup="4" dimension="6"/>
    <map measureGroup="4" dimension="9"/>
    <map measureGroup="4" dimension="14"/>
    <map measureGroup="5" dimension="1"/>
    <map measureGroup="5" dimension="5"/>
    <map measureGroup="5" dimension="9"/>
    <map measureGroup="5" dimension="14"/>
    <map measureGroup="6" dimension="9"/>
    <map measureGroup="6" dimension="14"/>
    <map measureGroup="7" dimension="9"/>
    <map measureGroup="7" dimension="14"/>
    <map measureGroup="8" dimension="5"/>
    <map measureGroup="8" dimension="9"/>
    <map measureGroup="8" dimension="14"/>
    <map measureGroup="9" dimension="9"/>
    <map measureGroup="9" dimension="14"/>
    <map measureGroup="10" dimension="1"/>
    <map measureGroup="10" dimension="2"/>
    <map measureGroup="10" dimension="9"/>
    <map measureGroup="10" dimension="14"/>
    <map measureGroup="11" dimension="1"/>
    <map measureGroup="11" dimension="2"/>
    <map measureGroup="11" dimension="9"/>
    <map measureGroup="11" dimension="13"/>
    <map measureGroup="11" dimension="14"/>
    <map measureGroup="12" dimension="0"/>
    <map measureGroup="12" dimension="1"/>
    <map measureGroup="12" dimension="2"/>
    <map measureGroup="12" dimension="5"/>
    <map measureGroup="12" dimension="6"/>
    <map measureGroup="12" dimension="7"/>
    <map measureGroup="12" dimension="9"/>
    <map measureGroup="12" dimension="10"/>
    <map measureGroup="12" dimension="11"/>
    <map measureGroup="12" dimension="12"/>
    <map measureGroup="12" dimension="14"/>
    <map measureGroup="13" dimension="1"/>
    <map measureGroup="13" dimension="2"/>
    <map measureGroup="13" dimension="6"/>
    <map measureGroup="13" dimension="9"/>
    <map measureGroup="13" dimension="14"/>
    <map measureGroup="14" dimension="9"/>
    <map measureGroup="14"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Local Dev" refreshedDate="42331.693090624998" backgroundQuery="1" createdVersion="5" refreshedVersion="5" minRefreshableVersion="3" recordCount="0" supportSubquery="1" supportAdvancedDrill="1">
  <cacheSource type="external" connectionId="1"/>
  <cacheFields count="11">
    <cacheField name="[Measures].[Current Principal Balance]" caption="Current Principal Balance" numFmtId="0" hierarchy="104" level="32767"/>
    <cacheField name="[Measures].[Loan Count]" caption="Loan Count" numFmtId="0" hierarchy="124" level="32767"/>
    <cacheField name="[Seasoning Distribution].[Distributions Desc].[Distributions Desc]" caption="Distributions Desc" numFmtId="0" hierarchy="79" level="1" mappingCount="1">
      <sharedItems count="13">
        <s v="[Seasoning Distribution].[Distributions Desc].&amp;[0-6 个月]" c="0-6 个月" cp="1">
          <x/>
        </s>
        <s v="[Seasoning Distribution].[Distributions Desc].&amp;[6-12 个月]" c="6-12 个月" cp="1">
          <x v="1"/>
        </s>
        <s v="[Seasoning Distribution].[Distributions Desc].&amp;[12-18 个月]" c="12-18 个月" cp="1">
          <x v="2"/>
        </s>
        <s v="[Seasoning Distribution].[Distributions Desc].&amp;[18-24 个月]" c="18-24 个月" cp="1">
          <x v="3"/>
        </s>
        <s v="[Seasoning Distribution].[Distributions Desc].&amp;[24-30 个月]" c="24-30 个月" cp="1">
          <x v="4"/>
        </s>
        <s v="[Seasoning Distribution].[Distributions Desc].&amp;[30-36 个月]" c="30-36 个月" cp="1">
          <x v="5"/>
        </s>
        <s v="[Seasoning Distribution].[Distributions Desc].&amp;[36-42 个月]" c="36-42 个月" cp="1">
          <x v="6"/>
        </s>
        <s v="[Seasoning Distribution].[Distributions Desc].&amp;[42-48 个月]" c="42-48 个月" cp="1">
          <x v="7"/>
        </s>
        <s v="[Seasoning Distribution].[Distributions Desc].&amp;[48-54 个月]" c="48-54 个月" cp="1">
          <x v="8"/>
        </s>
        <s v="[Seasoning Distribution].[Distributions Desc].&amp;[54-60 个月]" c="54-60 个月" cp="1">
          <x v="9"/>
        </s>
        <s v="[Seasoning Distribution].[Distributions Desc].&amp;[66-72 个月]" c="66-72 个月" cp="1">
          <x v="10"/>
        </s>
        <s v="[Seasoning Distribution].[Distributions Desc].&amp;[72-78 个月]" c="72-78 个月" cp="1">
          <x v="11"/>
        </s>
        <s v="[Seasoning Distribution].[Distributions Desc].&amp;[78-84 个月]" c="78-84 个月" cp="1">
          <x v="12"/>
        </s>
      </sharedItems>
      <mpMap v="3"/>
    </cacheField>
    <cacheField name="[Seasoning Distribution].[Distributions Desc].[Distributions Desc].[Sort Key]" caption="Sort Key" propertyName="Sort Key" numFmtId="0" hierarchy="79" level="1" memberPropertyField="1">
      <sharedItems containsSemiMixedTypes="0" containsString="0" containsNumber="1" containsInteger="1" minValue="10" maxValue="140" count="13">
        <n v="10"/>
        <n v="20"/>
        <n v="30"/>
        <n v="40"/>
        <n v="50"/>
        <n v="60"/>
        <n v="70"/>
        <n v="80"/>
        <n v="90"/>
        <n v="100"/>
        <n v="120"/>
        <n v="130"/>
        <n v="140"/>
      </sharedItems>
    </cacheField>
    <cacheField name="[View Dim EC Pass].[EC Pass No].[EC Pass No]" caption="EC Pass No" numFmtId="0" hierarchy="83" level="1">
      <sharedItems containsSemiMixedTypes="0" containsString="0"/>
    </cacheField>
    <cacheField name="[Pool].[Dim Pool ID].[Dim Pool ID]" caption="Dim Pool ID" numFmtId="0" hierarchy="70" level="1">
      <sharedItems containsSemiMixedTypes="0" containsString="0"/>
    </cacheField>
    <cacheField name="[Pool].[Dim Pool ID].[Dim Pool ID].[Dim Organisation ID]" caption="Dim Organisation ID" propertyName="Dim Organisation ID" numFmtId="0" hierarchy="70" level="1" memberPropertyField="1">
      <sharedItems containsSemiMixedTypes="0" containsString="0"/>
    </cacheField>
    <cacheField name="[Pool].[Dim Pool ID].[Dim Pool ID].[Dim Reporting Date ID]" caption="Dim Reporting Date ID" propertyName="Dim Reporting Date ID" numFmtId="0" hierarchy="70" level="1" memberPropertyField="1">
      <sharedItems containsSemiMixedTypes="0" containsString="0"/>
    </cacheField>
    <cacheField name="[Pool].[Dim Pool ID].[Dim Pool ID].[Target Sql Connection]" caption="Target Sql Connection" propertyName="Target Sql Connection" numFmtId="0" hierarchy="70" level="1" memberPropertyField="1">
      <sharedItems containsSemiMixedTypes="0" containsString="0"/>
    </cacheField>
    <cacheField name="Dummy0" numFmtId="0" hierarchy="148" level="32767">
      <extLst>
        <ext xmlns:x14="http://schemas.microsoft.com/office/spreadsheetml/2009/9/main" uri="{63CAB8AC-B538-458d-9737-405883B0398D}">
          <x14:cacheField ignore="1"/>
        </ext>
      </extLst>
    </cacheField>
    <cacheField name="Dummy1" numFmtId="0" hierarchy="149" level="32767">
      <extLst>
        <ext xmlns:x14="http://schemas.microsoft.com/office/spreadsheetml/2009/9/main" uri="{63CAB8AC-B538-458d-9737-405883B0398D}">
          <x14:cacheField ignore="1"/>
        </ext>
      </extLst>
    </cacheField>
  </cacheFields>
  <cacheHierarchies count="15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0" unbalanced="0"/>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caption="Guarantee" attribute="1" defaultMemberUniqueName="[Loan].[Guarantee].[All]" allUniqueName="[Loan].[Guarantee].[All]" dimensionUniqueName="[Loan]" displayFolder="" count="0" unbalanced="0"/>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Division Name Distinct Count]" caption="Division Name Distinct Count" measure="1" displayFolder="" measureGroup="Division Count" count="0"/>
    <cacheHierarchy uniqueName="[Measures].[Customer Sector Distinct Count]" caption="Customer Sector Distinct Count" measure="1" displayFolder="" measureGroup="Customer Sector Count" count="0"/>
    <cacheHierarchy uniqueName="[Measures].[Top5CustomerLoanAmount]" caption="Top5CustomerLoanAmount" measure="1" displayFolder="" measureGroup="View Fact Customer Loan Amount" count="0"/>
    <cacheHierarchy uniqueName="[Measures].[Top3CustomerSectorLoanAmount]" caption="Top3CustomerSectorLoanAmount" measure="1" displayFolder="" measureGroup="View Fact Customer Sector Loan Am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5">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5">
    <measureGroup name="Customer Sector Count" caption="Customer Sector Count"/>
    <measureGroup name="Division Count" caption="Division Count"/>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Customer Loan Amount" caption="View Fact Customer Loan Amount"/>
    <measureGroup name="View Fact Customer Sector Loan Amount" caption="View Fact Customer Sector Loan Amount"/>
    <measureGroup name="View Fact Loan" caption="View Fact Loan"/>
    <measureGroup name="View Fact Loan Customer" caption="View Fact Loan Customer"/>
    <measureGroup name="View Loan Main Customer" caption="View Loan Main Customer"/>
  </measureGroups>
  <maps count="69">
    <map measureGroup="0" dimension="0"/>
    <map measureGroup="0" dimension="1"/>
    <map measureGroup="0" dimension="2"/>
    <map measureGroup="0" dimension="5"/>
    <map measureGroup="0" dimension="6"/>
    <map measureGroup="0" dimension="7"/>
    <map measureGroup="0" dimension="9"/>
    <map measureGroup="0" dimension="10"/>
    <map measureGroup="0" dimension="11"/>
    <map measureGroup="0" dimension="12"/>
    <map measureGroup="0" dimension="14"/>
    <map measureGroup="1" dimension="0"/>
    <map measureGroup="1" dimension="1"/>
    <map measureGroup="1" dimension="2"/>
    <map measureGroup="1" dimension="5"/>
    <map measureGroup="1" dimension="6"/>
    <map measureGroup="1" dimension="7"/>
    <map measureGroup="1" dimension="9"/>
    <map measureGroup="1" dimension="10"/>
    <map measureGroup="1" dimension="11"/>
    <map measureGroup="1" dimension="12"/>
    <map measureGroup="1" dimension="14"/>
    <map measureGroup="2" dimension="3"/>
    <map measureGroup="3" dimension="1"/>
    <map measureGroup="3" dimension="9"/>
    <map measureGroup="3" dimension="14"/>
    <map measureGroup="4" dimension="6"/>
    <map measureGroup="4" dimension="9"/>
    <map measureGroup="4" dimension="14"/>
    <map measureGroup="5" dimension="1"/>
    <map measureGroup="5" dimension="5"/>
    <map measureGroup="5" dimension="9"/>
    <map measureGroup="5" dimension="14"/>
    <map measureGroup="6" dimension="9"/>
    <map measureGroup="6" dimension="14"/>
    <map measureGroup="7" dimension="9"/>
    <map measureGroup="7" dimension="14"/>
    <map measureGroup="8" dimension="5"/>
    <map measureGroup="8" dimension="9"/>
    <map measureGroup="8" dimension="14"/>
    <map measureGroup="9" dimension="9"/>
    <map measureGroup="9" dimension="14"/>
    <map measureGroup="10" dimension="1"/>
    <map measureGroup="10" dimension="2"/>
    <map measureGroup="10" dimension="9"/>
    <map measureGroup="10" dimension="14"/>
    <map measureGroup="11" dimension="1"/>
    <map measureGroup="11" dimension="2"/>
    <map measureGroup="11" dimension="9"/>
    <map measureGroup="11" dimension="13"/>
    <map measureGroup="11" dimension="14"/>
    <map measureGroup="12" dimension="0"/>
    <map measureGroup="12" dimension="1"/>
    <map measureGroup="12" dimension="2"/>
    <map measureGroup="12" dimension="5"/>
    <map measureGroup="12" dimension="6"/>
    <map measureGroup="12" dimension="7"/>
    <map measureGroup="12" dimension="9"/>
    <map measureGroup="12" dimension="10"/>
    <map measureGroup="12" dimension="11"/>
    <map measureGroup="12" dimension="12"/>
    <map measureGroup="12" dimension="14"/>
    <map measureGroup="13" dimension="1"/>
    <map measureGroup="13" dimension="2"/>
    <map measureGroup="13" dimension="6"/>
    <map measureGroup="13" dimension="9"/>
    <map measureGroup="13" dimension="14"/>
    <map measureGroup="14" dimension="9"/>
    <map measureGroup="14"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Local Dev" refreshedDate="42331.693092245368" backgroundQuery="1" createdVersion="5" refreshedVersion="5" minRefreshableVersion="3" recordCount="0" supportSubquery="1" supportAdvancedDrill="1">
  <cacheSource type="external" connectionId="1"/>
  <cacheFields count="11">
    <cacheField name="[Measures].[Current Principal Balance]" caption="Current Principal Balance" numFmtId="0" hierarchy="104" level="32767"/>
    <cacheField name="[Measures].[Loan Count]" caption="Loan Count" numFmtId="0" hierarchy="124" level="32767"/>
    <cacheField name="[Current Rate Distribution].[Distributions Desc].[Distributions Desc]" caption="Distributions Desc" numFmtId="0" level="1" mappingCount="1">
      <sharedItems count="3">
        <s v="[Current Rate Distribution].[Distributions Desc].&amp;[8.5（不含）% - 9（含）%]" c="8.5（不含）% - 9（含）%" cp="1">
          <x/>
        </s>
        <s v="[Current Rate Distribution].[Distributions Desc].&amp;[9.5（不含）% - 10（含）%]" c="9.5（不含）% - 10（含）%" cp="1">
          <x v="1"/>
        </s>
        <s v="[Current Rate Distribution].[Distributions Desc].&amp;[10.5（不含）% - 11（含）%]" c="10.5（不含）% - 11（含）%" cp="1">
          <x v="2"/>
        </s>
      </sharedItems>
      <mpMap v="3"/>
    </cacheField>
    <cacheField name="[Current Rate Distribution].[Distributions Desc].[Distributions Desc].[Sort Key]" caption="Sort Key" propertyName="Sort Key" numFmtId="0" level="1" memberPropertyField="1">
      <sharedItems containsSemiMixedTypes="0" containsString="0" containsNumber="1" containsInteger="1" minValue="180" maxValue="220" count="3">
        <n v="180"/>
        <n v="200"/>
        <n v="220"/>
      </sharedItems>
    </cacheField>
    <cacheField name="[View Dim EC Pass].[EC Pass No].[EC Pass No]" caption="EC Pass No" numFmtId="0" hierarchy="83" level="1">
      <sharedItems containsSemiMixedTypes="0" containsString="0"/>
    </cacheField>
    <cacheField name="[Pool].[Dim Pool ID].[Dim Pool ID]" caption="Dim Pool ID" numFmtId="0" hierarchy="70" level="1">
      <sharedItems containsSemiMixedTypes="0" containsString="0"/>
    </cacheField>
    <cacheField name="[Pool].[Dim Pool ID].[Dim Pool ID].[Dim Organisation ID]" caption="Dim Organisation ID" propertyName="Dim Organisation ID" numFmtId="0" hierarchy="70" level="1" memberPropertyField="1">
      <sharedItems containsSemiMixedTypes="0" containsString="0"/>
    </cacheField>
    <cacheField name="[Pool].[Dim Pool ID].[Dim Pool ID].[Dim Reporting Date ID]" caption="Dim Reporting Date ID" propertyName="Dim Reporting Date ID" numFmtId="0" hierarchy="70" level="1" memberPropertyField="1">
      <sharedItems containsSemiMixedTypes="0" containsString="0"/>
    </cacheField>
    <cacheField name="[Pool].[Dim Pool ID].[Dim Pool ID].[Target Sql Connection]" caption="Target Sql Connection" propertyName="Target Sql Connection" numFmtId="0" hierarchy="70" level="1" memberPropertyField="1">
      <sharedItems containsSemiMixedTypes="0" containsString="0"/>
    </cacheField>
    <cacheField name="Dummy0" numFmtId="0" hierarchy="148" level="32767">
      <extLst>
        <ext xmlns:x14="http://schemas.microsoft.com/office/spreadsheetml/2009/9/main" uri="{63CAB8AC-B538-458d-9737-405883B0398D}">
          <x14:cacheField ignore="1"/>
        </ext>
      </extLst>
    </cacheField>
    <cacheField name="Dummy1" numFmtId="0" hierarchy="149" level="32767">
      <extLst>
        <ext xmlns:x14="http://schemas.microsoft.com/office/spreadsheetml/2009/9/main" uri="{63CAB8AC-B538-458d-9737-405883B0398D}">
          <x14:cacheField ignore="1"/>
        </ext>
      </extLst>
    </cacheField>
  </cacheFields>
  <cacheHierarchies count="15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0" unbalanced="0"/>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caption="Guarantee" attribute="1" defaultMemberUniqueName="[Loan].[Guarantee].[All]" allUniqueName="[Loan].[Guarantee].[All]" dimensionUniqueName="[Loan]" displayFolder="" count="0" unbalanced="0"/>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Division Name Distinct Count]" caption="Division Name Distinct Count" measure="1" displayFolder="" measureGroup="Division Count" count="0"/>
    <cacheHierarchy uniqueName="[Measures].[Customer Sector Distinct Count]" caption="Customer Sector Distinct Count" measure="1" displayFolder="" measureGroup="Customer Sector Count" count="0"/>
    <cacheHierarchy uniqueName="[Measures].[Top5CustomerLoanAmount]" caption="Top5CustomerLoanAmount" measure="1" displayFolder="" measureGroup="View Fact Customer Loan Amount" count="0"/>
    <cacheHierarchy uniqueName="[Measures].[Top3CustomerSectorLoanAmount]" caption="Top3CustomerSectorLoanAmount" measure="1" displayFolder="" measureGroup="View Fact Customer Sector Loan Am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5">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5">
    <measureGroup name="Customer Sector Count" caption="Customer Sector Count"/>
    <measureGroup name="Division Count" caption="Division Count"/>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Customer Loan Amount" caption="View Fact Customer Loan Amount"/>
    <measureGroup name="View Fact Customer Sector Loan Amount" caption="View Fact Customer Sector Loan Amount"/>
    <measureGroup name="View Fact Loan" caption="View Fact Loan"/>
    <measureGroup name="View Fact Loan Customer" caption="View Fact Loan Customer"/>
    <measureGroup name="View Loan Main Customer" caption="View Loan Main Customer"/>
  </measureGroups>
  <maps count="69">
    <map measureGroup="0" dimension="0"/>
    <map measureGroup="0" dimension="1"/>
    <map measureGroup="0" dimension="2"/>
    <map measureGroup="0" dimension="5"/>
    <map measureGroup="0" dimension="6"/>
    <map measureGroup="0" dimension="7"/>
    <map measureGroup="0" dimension="9"/>
    <map measureGroup="0" dimension="10"/>
    <map measureGroup="0" dimension="11"/>
    <map measureGroup="0" dimension="12"/>
    <map measureGroup="0" dimension="14"/>
    <map measureGroup="1" dimension="0"/>
    <map measureGroup="1" dimension="1"/>
    <map measureGroup="1" dimension="2"/>
    <map measureGroup="1" dimension="5"/>
    <map measureGroup="1" dimension="6"/>
    <map measureGroup="1" dimension="7"/>
    <map measureGroup="1" dimension="9"/>
    <map measureGroup="1" dimension="10"/>
    <map measureGroup="1" dimension="11"/>
    <map measureGroup="1" dimension="12"/>
    <map measureGroup="1" dimension="14"/>
    <map measureGroup="2" dimension="3"/>
    <map measureGroup="3" dimension="1"/>
    <map measureGroup="3" dimension="9"/>
    <map measureGroup="3" dimension="14"/>
    <map measureGroup="4" dimension="6"/>
    <map measureGroup="4" dimension="9"/>
    <map measureGroup="4" dimension="14"/>
    <map measureGroup="5" dimension="1"/>
    <map measureGroup="5" dimension="5"/>
    <map measureGroup="5" dimension="9"/>
    <map measureGroup="5" dimension="14"/>
    <map measureGroup="6" dimension="9"/>
    <map measureGroup="6" dimension="14"/>
    <map measureGroup="7" dimension="9"/>
    <map measureGroup="7" dimension="14"/>
    <map measureGroup="8" dimension="5"/>
    <map measureGroup="8" dimension="9"/>
    <map measureGroup="8" dimension="14"/>
    <map measureGroup="9" dimension="9"/>
    <map measureGroup="9" dimension="14"/>
    <map measureGroup="10" dimension="1"/>
    <map measureGroup="10" dimension="2"/>
    <map measureGroup="10" dimension="9"/>
    <map measureGroup="10" dimension="14"/>
    <map measureGroup="11" dimension="1"/>
    <map measureGroup="11" dimension="2"/>
    <map measureGroup="11" dimension="9"/>
    <map measureGroup="11" dimension="13"/>
    <map measureGroup="11" dimension="14"/>
    <map measureGroup="12" dimension="0"/>
    <map measureGroup="12" dimension="1"/>
    <map measureGroup="12" dimension="2"/>
    <map measureGroup="12" dimension="5"/>
    <map measureGroup="12" dimension="6"/>
    <map measureGroup="12" dimension="7"/>
    <map measureGroup="12" dimension="9"/>
    <map measureGroup="12" dimension="10"/>
    <map measureGroup="12" dimension="11"/>
    <map measureGroup="12" dimension="12"/>
    <map measureGroup="12" dimension="14"/>
    <map measureGroup="13" dimension="1"/>
    <map measureGroup="13" dimension="2"/>
    <map measureGroup="13" dimension="6"/>
    <map measureGroup="13" dimension="9"/>
    <map measureGroup="13" dimension="14"/>
    <map measureGroup="14" dimension="9"/>
    <map measureGroup="14"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Local Dev" refreshedDate="42331.69309375" backgroundQuery="1" createdVersion="5" refreshedVersion="5" minRefreshableVersion="3" recordCount="0" supportSubquery="1" supportAdvancedDrill="1">
  <cacheSource type="external" connectionId="1"/>
  <cacheFields count="10">
    <cacheField name="[Measures].[Current Principal Balance]" caption="Current Principal Balance" numFmtId="0" hierarchy="104" level="32767"/>
    <cacheField name="[Measures].[Loan Count]" caption="Loan Count" numFmtId="0" hierarchy="124" level="32767"/>
    <cacheField name="[Loan].[Credit Risk Code].[Credit Risk Code]" caption="Credit Risk Code" numFmtId="0" hierarchy="45" level="1">
      <sharedItems count="3">
        <s v="[Loan].[Credit Risk Code].&amp;[ 关注]" c=" 关注"/>
        <s v="[Loan].[Credit Risk Code].&amp;[ 可疑]" c=" 可疑"/>
        <s v="[Loan].[Credit Risk Code].&amp;[ 正常]" c=" 正常"/>
      </sharedItems>
    </cacheField>
    <cacheField name="[View Dim EC Pass].[EC Pass No].[EC Pass No]" caption="EC Pass No" numFmtId="0" hierarchy="83" level="1">
      <sharedItems containsSemiMixedTypes="0" containsString="0"/>
    </cacheField>
    <cacheField name="[Pool].[Dim Pool ID].[Dim Pool ID]" caption="Dim Pool ID" numFmtId="0" hierarchy="70" level="1">
      <sharedItems containsSemiMixedTypes="0" containsString="0"/>
    </cacheField>
    <cacheField name="[Pool].[Dim Pool ID].[Dim Pool ID].[Dim Organisation ID]" caption="Dim Organisation ID" propertyName="Dim Organisation ID" numFmtId="0" hierarchy="70" level="1" memberPropertyField="1">
      <sharedItems containsSemiMixedTypes="0" containsString="0"/>
    </cacheField>
    <cacheField name="[Pool].[Dim Pool ID].[Dim Pool ID].[Dim Reporting Date ID]" caption="Dim Reporting Date ID" propertyName="Dim Reporting Date ID" numFmtId="0" hierarchy="70" level="1" memberPropertyField="1">
      <sharedItems containsSemiMixedTypes="0" containsString="0"/>
    </cacheField>
    <cacheField name="[Pool].[Dim Pool ID].[Dim Pool ID].[Target Sql Connection]" caption="Target Sql Connection" propertyName="Target Sql Connection" numFmtId="0" hierarchy="70" level="1" memberPropertyField="1">
      <sharedItems containsSemiMixedTypes="0" containsString="0"/>
    </cacheField>
    <cacheField name="Dummy0" numFmtId="0" hierarchy="148" level="32767">
      <extLst>
        <ext xmlns:x14="http://schemas.microsoft.com/office/spreadsheetml/2009/9/main" uri="{63CAB8AC-B538-458d-9737-405883B0398D}">
          <x14:cacheField ignore="1"/>
        </ext>
      </extLst>
    </cacheField>
    <cacheField name="Dummy1" numFmtId="0" hierarchy="149" level="32767">
      <extLst>
        <ext xmlns:x14="http://schemas.microsoft.com/office/spreadsheetml/2009/9/main" uri="{63CAB8AC-B538-458d-9737-405883B0398D}">
          <x14:cacheField ignore="1"/>
        </ext>
      </extLst>
    </cacheField>
  </cacheFields>
  <cacheHierarchies count="15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2" unbalanced="0">
      <fieldsUsage count="2">
        <fieldUsage x="-1"/>
        <fieldUsage x="2"/>
      </fieldsUsage>
    </cacheHierarchy>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caption="Guarantee" attribute="1" defaultMemberUniqueName="[Loan].[Guarantee].[All]" allUniqueName="[Loan].[Guarantee].[All]" dimensionUniqueName="[Loan]" displayFolder="" count="0" unbalanced="0"/>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Division Name Distinct Count]" caption="Division Name Distinct Count" measure="1" displayFolder="" measureGroup="Division Count" count="0"/>
    <cacheHierarchy uniqueName="[Measures].[Customer Sector Distinct Count]" caption="Customer Sector Distinct Count" measure="1" displayFolder="" measureGroup="Customer Sector Count" count="0"/>
    <cacheHierarchy uniqueName="[Measures].[Top5CustomerLoanAmount]" caption="Top5CustomerLoanAmount" measure="1" displayFolder="" measureGroup="View Fact Customer Loan Amount" count="0"/>
    <cacheHierarchy uniqueName="[Measures].[Top3CustomerSectorLoanAmount]" caption="Top3CustomerSectorLoanAmount" measure="1" displayFolder="" measureGroup="View Fact Customer Sector Loan Am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5">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5">
    <measureGroup name="Customer Sector Count" caption="Customer Sector Count"/>
    <measureGroup name="Division Count" caption="Division Count"/>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Customer Loan Amount" caption="View Fact Customer Loan Amount"/>
    <measureGroup name="View Fact Customer Sector Loan Amount" caption="View Fact Customer Sector Loan Amount"/>
    <measureGroup name="View Fact Loan" caption="View Fact Loan"/>
    <measureGroup name="View Fact Loan Customer" caption="View Fact Loan Customer"/>
    <measureGroup name="View Loan Main Customer" caption="View Loan Main Customer"/>
  </measureGroups>
  <maps count="69">
    <map measureGroup="0" dimension="0"/>
    <map measureGroup="0" dimension="1"/>
    <map measureGroup="0" dimension="2"/>
    <map measureGroup="0" dimension="5"/>
    <map measureGroup="0" dimension="6"/>
    <map measureGroup="0" dimension="7"/>
    <map measureGroup="0" dimension="9"/>
    <map measureGroup="0" dimension="10"/>
    <map measureGroup="0" dimension="11"/>
    <map measureGroup="0" dimension="12"/>
    <map measureGroup="0" dimension="14"/>
    <map measureGroup="1" dimension="0"/>
    <map measureGroup="1" dimension="1"/>
    <map measureGroup="1" dimension="2"/>
    <map measureGroup="1" dimension="5"/>
    <map measureGroup="1" dimension="6"/>
    <map measureGroup="1" dimension="7"/>
    <map measureGroup="1" dimension="9"/>
    <map measureGroup="1" dimension="10"/>
    <map measureGroup="1" dimension="11"/>
    <map measureGroup="1" dimension="12"/>
    <map measureGroup="1" dimension="14"/>
    <map measureGroup="2" dimension="3"/>
    <map measureGroup="3" dimension="1"/>
    <map measureGroup="3" dimension="9"/>
    <map measureGroup="3" dimension="14"/>
    <map measureGroup="4" dimension="6"/>
    <map measureGroup="4" dimension="9"/>
    <map measureGroup="4" dimension="14"/>
    <map measureGroup="5" dimension="1"/>
    <map measureGroup="5" dimension="5"/>
    <map measureGroup="5" dimension="9"/>
    <map measureGroup="5" dimension="14"/>
    <map measureGroup="6" dimension="9"/>
    <map measureGroup="6" dimension="14"/>
    <map measureGroup="7" dimension="9"/>
    <map measureGroup="7" dimension="14"/>
    <map measureGroup="8" dimension="5"/>
    <map measureGroup="8" dimension="9"/>
    <map measureGroup="8" dimension="14"/>
    <map measureGroup="9" dimension="9"/>
    <map measureGroup="9" dimension="14"/>
    <map measureGroup="10" dimension="1"/>
    <map measureGroup="10" dimension="2"/>
    <map measureGroup="10" dimension="9"/>
    <map measureGroup="10" dimension="14"/>
    <map measureGroup="11" dimension="1"/>
    <map measureGroup="11" dimension="2"/>
    <map measureGroup="11" dimension="9"/>
    <map measureGroup="11" dimension="13"/>
    <map measureGroup="11" dimension="14"/>
    <map measureGroup="12" dimension="0"/>
    <map measureGroup="12" dimension="1"/>
    <map measureGroup="12" dimension="2"/>
    <map measureGroup="12" dimension="5"/>
    <map measureGroup="12" dimension="6"/>
    <map measureGroup="12" dimension="7"/>
    <map measureGroup="12" dimension="9"/>
    <map measureGroup="12" dimension="10"/>
    <map measureGroup="12" dimension="11"/>
    <map measureGroup="12" dimension="12"/>
    <map measureGroup="12" dimension="14"/>
    <map measureGroup="13" dimension="1"/>
    <map measureGroup="13" dimension="2"/>
    <map measureGroup="13" dimension="6"/>
    <map measureGroup="13" dimension="9"/>
    <map measureGroup="13" dimension="14"/>
    <map measureGroup="14" dimension="9"/>
    <map measureGroup="14"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Local Dev" refreshedDate="42331.693095486109" backgroundQuery="1" createdVersion="5" refreshedVersion="5" minRefreshableVersion="3" recordCount="0" supportSubquery="1" supportAdvancedDrill="1">
  <cacheSource type="external" connectionId="1"/>
  <cacheFields count="10">
    <cacheField name="[Measures].[Current Principal Balance]" caption="Current Principal Balance" numFmtId="0" hierarchy="104" level="32767"/>
    <cacheField name="[Measures].[Loan Count]" caption="Loan Count" numFmtId="0" hierarchy="124" level="32767"/>
    <cacheField name="[Customer].[Customer Sector].[Customer Sector]" caption="Customer Sector" numFmtId="0" hierarchy="10" level="1">
      <sharedItems count="7">
        <s v="[Customer].[Customer Sector].&amp;[K-房地产业]" c="K-房地产业"/>
        <s v="[Customer].[Customer Sector].&amp;[N-水利、环境和公共设施管理业]" c="N-水利、环境和公共设施管理业"/>
        <s v="[Customer].[Customer Sector].&amp;[O-居民服务、修理和其他服务业]" c="O-居民服务、修理和其他服务业"/>
        <s v="[Customer].[Customer Sector].&amp;[P-教育]" c="P-教育"/>
        <s v="[Customer].[Customer Sector].&amp;[Q-卫生和社会工作]" c="Q-卫生和社会工作"/>
        <s v="[Customer].[Customer Sector].&amp;[R-文化、体育和娱乐业]" c="R-文化、体育和娱乐业"/>
        <s v="[Customer].[Customer Sector].&amp;[S-公共管理、社会保障和社会组织]" c="S-公共管理、社会保障和社会组织"/>
      </sharedItems>
    </cacheField>
    <cacheField name="[View Dim EC Pass].[EC Pass No].[EC Pass No]" caption="EC Pass No" numFmtId="0" hierarchy="83" level="1">
      <sharedItems containsSemiMixedTypes="0" containsString="0"/>
    </cacheField>
    <cacheField name="[Pool].[Dim Pool ID].[Dim Pool ID]" caption="Dim Pool ID" numFmtId="0" hierarchy="70" level="1">
      <sharedItems containsSemiMixedTypes="0" containsString="0"/>
    </cacheField>
    <cacheField name="[Pool].[Dim Pool ID].[Dim Pool ID].[Dim Organisation ID]" caption="Dim Organisation ID" propertyName="Dim Organisation ID" numFmtId="0" hierarchy="70" level="1" memberPropertyField="1">
      <sharedItems containsSemiMixedTypes="0" containsString="0"/>
    </cacheField>
    <cacheField name="[Pool].[Dim Pool ID].[Dim Pool ID].[Dim Reporting Date ID]" caption="Dim Reporting Date ID" propertyName="Dim Reporting Date ID" numFmtId="0" hierarchy="70" level="1" memberPropertyField="1">
      <sharedItems containsSemiMixedTypes="0" containsString="0"/>
    </cacheField>
    <cacheField name="[Pool].[Dim Pool ID].[Dim Pool ID].[Target Sql Connection]" caption="Target Sql Connection" propertyName="Target Sql Connection" numFmtId="0" hierarchy="70" level="1" memberPropertyField="1">
      <sharedItems containsSemiMixedTypes="0" containsString="0"/>
    </cacheField>
    <cacheField name="Dummy0" numFmtId="0" hierarchy="148" level="32767">
      <extLst>
        <ext xmlns:x14="http://schemas.microsoft.com/office/spreadsheetml/2009/9/main" uri="{63CAB8AC-B538-458d-9737-405883B0398D}">
          <x14:cacheField ignore="1"/>
        </ext>
      </extLst>
    </cacheField>
    <cacheField name="Dummy1" numFmtId="0" hierarchy="149" level="32767">
      <extLst>
        <ext xmlns:x14="http://schemas.microsoft.com/office/spreadsheetml/2009/9/main" uri="{63CAB8AC-B538-458d-9737-405883B0398D}">
          <x14:cacheField ignore="1"/>
        </ext>
      </extLst>
    </cacheField>
  </cacheFields>
  <cacheHierarchies count="15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2" unbalanced="0">
      <fieldsUsage count="2">
        <fieldUsage x="-1"/>
        <fieldUsage x="2"/>
      </fieldsUsage>
    </cacheHierarchy>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0" unbalanced="0"/>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caption="Guarantee" attribute="1" defaultMemberUniqueName="[Loan].[Guarantee].[All]" allUniqueName="[Loan].[Guarantee].[All]" dimensionUniqueName="[Loan]" displayFolder="" count="0" unbalanced="0"/>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Division Name Distinct Count]" caption="Division Name Distinct Count" measure="1" displayFolder="" measureGroup="Division Count" count="0"/>
    <cacheHierarchy uniqueName="[Measures].[Customer Sector Distinct Count]" caption="Customer Sector Distinct Count" measure="1" displayFolder="" measureGroup="Customer Sector Count" count="0"/>
    <cacheHierarchy uniqueName="[Measures].[Top5CustomerLoanAmount]" caption="Top5CustomerLoanAmount" measure="1" displayFolder="" measureGroup="View Fact Customer Loan Amount" count="0"/>
    <cacheHierarchy uniqueName="[Measures].[Top3CustomerSectorLoanAmount]" caption="Top3CustomerSectorLoanAmount" measure="1" displayFolder="" measureGroup="View Fact Customer Sector Loan Am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5">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5">
    <measureGroup name="Customer Sector Count" caption="Customer Sector Count"/>
    <measureGroup name="Division Count" caption="Division Count"/>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Customer Loan Amount" caption="View Fact Customer Loan Amount"/>
    <measureGroup name="View Fact Customer Sector Loan Amount" caption="View Fact Customer Sector Loan Amount"/>
    <measureGroup name="View Fact Loan" caption="View Fact Loan"/>
    <measureGroup name="View Fact Loan Customer" caption="View Fact Loan Customer"/>
    <measureGroup name="View Loan Main Customer" caption="View Loan Main Customer"/>
  </measureGroups>
  <maps count="69">
    <map measureGroup="0" dimension="0"/>
    <map measureGroup="0" dimension="1"/>
    <map measureGroup="0" dimension="2"/>
    <map measureGroup="0" dimension="5"/>
    <map measureGroup="0" dimension="6"/>
    <map measureGroup="0" dimension="7"/>
    <map measureGroup="0" dimension="9"/>
    <map measureGroup="0" dimension="10"/>
    <map measureGroup="0" dimension="11"/>
    <map measureGroup="0" dimension="12"/>
    <map measureGroup="0" dimension="14"/>
    <map measureGroup="1" dimension="0"/>
    <map measureGroup="1" dimension="1"/>
    <map measureGroup="1" dimension="2"/>
    <map measureGroup="1" dimension="5"/>
    <map measureGroup="1" dimension="6"/>
    <map measureGroup="1" dimension="7"/>
    <map measureGroup="1" dimension="9"/>
    <map measureGroup="1" dimension="10"/>
    <map measureGroup="1" dimension="11"/>
    <map measureGroup="1" dimension="12"/>
    <map measureGroup="1" dimension="14"/>
    <map measureGroup="2" dimension="3"/>
    <map measureGroup="3" dimension="1"/>
    <map measureGroup="3" dimension="9"/>
    <map measureGroup="3" dimension="14"/>
    <map measureGroup="4" dimension="6"/>
    <map measureGroup="4" dimension="9"/>
    <map measureGroup="4" dimension="14"/>
    <map measureGroup="5" dimension="1"/>
    <map measureGroup="5" dimension="5"/>
    <map measureGroup="5" dimension="9"/>
    <map measureGroup="5" dimension="14"/>
    <map measureGroup="6" dimension="9"/>
    <map measureGroup="6" dimension="14"/>
    <map measureGroup="7" dimension="9"/>
    <map measureGroup="7" dimension="14"/>
    <map measureGroup="8" dimension="5"/>
    <map measureGroup="8" dimension="9"/>
    <map measureGroup="8" dimension="14"/>
    <map measureGroup="9" dimension="9"/>
    <map measureGroup="9" dimension="14"/>
    <map measureGroup="10" dimension="1"/>
    <map measureGroup="10" dimension="2"/>
    <map measureGroup="10" dimension="9"/>
    <map measureGroup="10" dimension="14"/>
    <map measureGroup="11" dimension="1"/>
    <map measureGroup="11" dimension="2"/>
    <map measureGroup="11" dimension="9"/>
    <map measureGroup="11" dimension="13"/>
    <map measureGroup="11" dimension="14"/>
    <map measureGroup="12" dimension="0"/>
    <map measureGroup="12" dimension="1"/>
    <map measureGroup="12" dimension="2"/>
    <map measureGroup="12" dimension="5"/>
    <map measureGroup="12" dimension="6"/>
    <map measureGroup="12" dimension="7"/>
    <map measureGroup="12" dimension="9"/>
    <map measureGroup="12" dimension="10"/>
    <map measureGroup="12" dimension="11"/>
    <map measureGroup="12" dimension="12"/>
    <map measureGroup="12" dimension="14"/>
    <map measureGroup="13" dimension="1"/>
    <map measureGroup="13" dimension="2"/>
    <map measureGroup="13" dimension="6"/>
    <map measureGroup="13" dimension="9"/>
    <map measureGroup="13" dimension="14"/>
    <map measureGroup="14" dimension="9"/>
    <map measureGroup="14"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Local Dev" refreshedDate="42331.693083217593"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48">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0" unbalanced="0"/>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caption="Guarantee" attribute="1" defaultMemberUniqueName="[Loan].[Guarantee].[All]" allUniqueName="[Loan].[Guarantee].[All]" dimensionUniqueName="[Loan]" displayFolder="" count="0" unbalanced="0"/>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Division Name Distinct Count]" caption="Division Name Distinct Count" measure="1" displayFolder="" measureGroup="Division Count" count="0"/>
    <cacheHierarchy uniqueName="[Measures].[Customer Sector Distinct Count]" caption="Customer Sector Distinct Count" measure="1" displayFolder="" measureGroup="Customer Sector Count" count="0"/>
    <cacheHierarchy uniqueName="[Measures].[Top5CustomerLoanAmount]" caption="Top5CustomerLoanAmount" measure="1" displayFolder="" measureGroup="View Fact Customer Loan Amount" count="0"/>
    <cacheHierarchy uniqueName="[Measures].[Top3CustomerSectorLoanAmount]" caption="Top3CustomerSectorLoanAmount" measure="1" displayFolder="" measureGroup="View Fact Customer Sector Loan Am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ies>
  <kpis count="0"/>
  <extLst>
    <ext xmlns:x14="http://schemas.microsoft.com/office/spreadsheetml/2009/9/main" uri="{725AE2AE-9491-48be-B2B4-4EB974FC3084}">
      <x14:pivotCacheDefinition slicerData="1" pivotCacheId="9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name="ptFilter" cacheId="980"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70" name="[Pool].[Dim Pool ID].&amp;[10208]" cap="10208"/>
    <pageField fld="4" hier="83" name="[View Dim EC Pass].[EC Pass No].&amp;[ECPass3]" cap="ECPass3"/>
  </pageFields>
  <pivotHierarchies count="148">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955"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B17" firstHeaderRow="1" firstDataRow="1" firstDataCol="1" rowPageCount="2" colPageCount="1"/>
  <pivotFields count="18">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rowItems count="13">
    <i>
      <x/>
    </i>
    <i i="1">
      <x v="1"/>
    </i>
    <i i="2">
      <x v="2"/>
    </i>
    <i i="3">
      <x v="3"/>
    </i>
    <i i="4">
      <x v="4"/>
    </i>
    <i i="5">
      <x v="5"/>
    </i>
    <i i="6">
      <x v="6"/>
    </i>
    <i i="7">
      <x v="7"/>
    </i>
    <i i="8">
      <x v="8"/>
    </i>
    <i i="9">
      <x v="9"/>
    </i>
    <i i="10">
      <x v="10"/>
    </i>
    <i i="11">
      <x v="11"/>
    </i>
    <i i="12">
      <x v="12"/>
    </i>
  </rowItems>
  <colItems count="1">
    <i/>
  </colItems>
  <pageFields count="2">
    <pageField fld="11" hier="70" name="[Pool].[Dim Pool ID].&amp;[10208]" cap="10208"/>
    <pageField fld="15" hier="83" name="[View Dim EC Pass].[EC Pass No].&amp;[ECPass3]" cap="ECPass3"/>
  </pageFields>
  <dataFields count="13">
    <dataField name="资产池未偿本金余额总额" fld="0" baseField="0" baseItem="0" numFmtId="166"/>
    <dataField name="合同总金额" fld="1" baseField="0" baseItem="0"/>
    <dataField name="贷款笔数" fld="2" baseField="0" baseItem="0"/>
    <dataField name="平均本金余额" fld="3" baseField="0" baseItem="0"/>
    <dataField name="平均合同金额" fld="4" baseField="0" baseItem="0"/>
    <dataField name="加权平均贷款年利率" fld="5" baseField="0" baseItem="0"/>
    <dataField name="加权平均贷款合同期限" fld="6" baseField="0" baseItem="0"/>
    <dataField name="加权平均贷款剩余期限" fld="7" baseField="0" baseItem="0" numFmtId="2"/>
    <dataField name="加权平均贷款账龄" fld="8" baseField="0" baseItem="0"/>
    <dataField name="借款金额最高的前五名借款人占比" fld="9" baseField="0" baseItem="0"/>
    <dataField name="贷款最集中的前三个行业占比" fld="10" baseField="0" baseItem="0"/>
    <dataField name="借款人地域分布个数" fld="16" baseField="0" baseItem="0"/>
    <dataField name="借款人行业分布个数" fld="17" baseField="0" baseItem="0"/>
  </dataFields>
  <formats count="5">
    <format dxfId="0">
      <pivotArea collapsedLevelsAreSubtotals="1" fieldPosition="0">
        <references count="1">
          <reference field="4294967294" count="1">
            <x v="1"/>
          </reference>
        </references>
      </pivotArea>
    </format>
    <format dxfId="1">
      <pivotArea collapsedLevelsAreSubtotals="1" fieldPosition="0">
        <references count="1">
          <reference field="4294967294" count="1">
            <x v="3"/>
          </reference>
        </references>
      </pivotArea>
    </format>
    <format dxfId="2">
      <pivotArea collapsedLevelsAreSubtotals="1" fieldPosition="0">
        <references count="1">
          <reference field="4294967294" count="1">
            <x v="4"/>
          </reference>
        </references>
      </pivotArea>
    </format>
    <format dxfId="3">
      <pivotArea outline="0" fieldPosition="0">
        <references count="1">
          <reference field="4294967294" count="1">
            <x v="7"/>
          </reference>
        </references>
      </pivotArea>
    </format>
    <format dxfId="4">
      <pivotArea collapsedLevelsAreSubtotals="1" fieldPosition="0">
        <references count="1">
          <reference field="4294967294" count="1">
            <x v="8"/>
          </reference>
        </references>
      </pivotArea>
    </format>
  </formats>
  <pivotHierarchies count="148">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2"/>
        <mp field="13"/>
        <mp field="14"/>
      </mps>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总金额"/>
    <pivotHierarchy dragToRow="0" dragToCol="0" dragToPage="0" dragToData="1" caption="资产池未偿本金余额总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借款人地域分布个数"/>
    <pivotHierarchy dragToRow="0" dragToCol="0" dragToPage="0" dragToData="1" caption="借款人行业分布个数"/>
    <pivotHierarchy dragToRow="0" dragToCol="0" dragToPage="0" dragToData="1" caption="借款金额最高的前五名借款人占比"/>
    <pivotHierarchy dragToRow="0" dragToCol="0" dragToPage="0" dragToData="1" caption="贷款最集中的前三个行业占比"/>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caption="平均合同金额"/>
    <pivotHierarchy dragToRow="0" dragToCol="0" dragToPage="0" dragToData="1" caption="加权平均贷款年利率"/>
    <pivotHierarchy dragToRow="0" dragToCol="0" dragToPage="0" dragToData="1" caption="加权平均贷款账龄"/>
    <pivotHierarchy dragToRow="0" dragToCol="0" dragToPage="0" dragToData="1" caption="加权平均贷款合同期限"/>
    <pivotHierarchy dragToRow="0" dragToCol="0" dragToPage="0" dragToData="1" caption="加权平均贷款剩余期限"/>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Seasoning" cacheId="983"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5" rowHeaderCaption="贷款账龄分布" fieldListSortAscending="1">
  <location ref="G20:K34" firstHeaderRow="0" firstDataRow="1" firstDataCol="1" rowPageCount="2" colPageCount="1"/>
  <pivotFields count="11">
    <pivotField dataField="1" showAll="0"/>
    <pivotField dataField="1" showAll="0"/>
    <pivotField axis="axisRow" allDrilled="1" showAll="0" dataSourceSort="1" defaultAttributeDrillState="1">
      <items count="14">
        <item x="0"/>
        <item x="1"/>
        <item x="2"/>
        <item x="3"/>
        <item x="4"/>
        <item x="5"/>
        <item x="6"/>
        <item x="7"/>
        <item x="8"/>
        <item x="9"/>
        <item x="10"/>
        <item x="11"/>
        <item x="1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14">
    <i>
      <x/>
    </i>
    <i>
      <x v="1"/>
    </i>
    <i>
      <x v="2"/>
    </i>
    <i>
      <x v="3"/>
    </i>
    <i>
      <x v="4"/>
    </i>
    <i>
      <x v="5"/>
    </i>
    <i>
      <x v="6"/>
    </i>
    <i>
      <x v="7"/>
    </i>
    <i>
      <x v="8"/>
    </i>
    <i>
      <x v="9"/>
    </i>
    <i>
      <x v="10"/>
    </i>
    <i>
      <x v="11"/>
    </i>
    <i>
      <x v="12"/>
    </i>
    <i t="grand">
      <x/>
    </i>
  </rowItems>
  <colFields count="1">
    <field x="-2"/>
  </colFields>
  <colItems count="4">
    <i>
      <x/>
    </i>
    <i i="1">
      <x v="1"/>
    </i>
    <i i="2">
      <x v="2"/>
    </i>
    <i i="3">
      <x v="3"/>
    </i>
  </colItems>
  <pageFields count="2">
    <pageField fld="5" hier="70" name="[Pool].[Dim Pool ID].&amp;[10208]" cap="10208"/>
    <pageField fld="4" hier="83" name="[View Dim EC Pass].[EC Pass No].&amp;[ECPass3]" cap="ECPass3"/>
  </pageFields>
  <dataFields count="4">
    <dataField name="本金余额" fld="0" baseField="0" baseItem="0" numFmtId="166"/>
    <dataField name="本金余额占比" fld="9"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10"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9">
      <pivotArea dataOnly="0" labelOnly="1" outline="0" fieldPosition="0">
        <references count="1">
          <reference field="4294967294" count="1">
            <x v="0"/>
          </reference>
        </references>
      </pivotArea>
    </format>
    <format dxfId="8">
      <pivotArea outline="0" fieldPosition="0">
        <references count="1">
          <reference field="4294967294" count="1">
            <x v="1"/>
          </reference>
        </references>
      </pivotArea>
    </format>
    <format dxfId="7">
      <pivotArea dataOnly="0" labelOnly="1" outline="0" fieldPosition="0">
        <references count="1">
          <reference field="4294967294" count="1">
            <x v="1"/>
          </reference>
        </references>
      </pivotArea>
    </format>
    <format dxfId="6">
      <pivotArea dataOnly="0" outline="0" fieldPosition="0">
        <references count="1">
          <reference field="4294967294" count="1">
            <x v="2"/>
          </reference>
        </references>
      </pivotArea>
    </format>
    <format dxfId="5">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15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Interest" cacheId="986"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4" rowHeaderCaption="利率分布" fieldListSortAscending="1">
  <location ref="S20:W24" firstHeaderRow="0" firstDataRow="1" firstDataCol="1" rowPageCount="2" colPageCount="1"/>
  <pivotFields count="1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4">
    <i>
      <x/>
    </i>
    <i>
      <x v="1"/>
    </i>
    <i>
      <x v="2"/>
    </i>
    <i t="grand">
      <x/>
    </i>
  </rowItems>
  <colFields count="1">
    <field x="-2"/>
  </colFields>
  <colItems count="4">
    <i>
      <x/>
    </i>
    <i i="1">
      <x v="1"/>
    </i>
    <i i="2">
      <x v="2"/>
    </i>
    <i i="3">
      <x v="3"/>
    </i>
  </colItems>
  <pageFields count="2">
    <pageField fld="5" hier="70" name="[Pool].[Dim Pool ID].&amp;[10208]" cap="10208"/>
    <pageField fld="4" hier="83" name="[View Dim EC Pass].[EC Pass No].&amp;[ECPass3]" cap="ECPass3"/>
  </pageFields>
  <dataFields count="4">
    <dataField name="本金余额" fld="0" baseField="0" baseItem="0" numFmtId="166"/>
    <dataField name="本金余额占比" fld="9"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10"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14">
      <pivotArea dataOnly="0" labelOnly="1" outline="0" fieldPosition="0">
        <references count="1">
          <reference field="4294967294" count="1">
            <x v="0"/>
          </reference>
        </references>
      </pivotArea>
    </format>
    <format dxfId="13">
      <pivotArea outline="0" fieldPosition="0">
        <references count="1">
          <reference field="4294967294" count="1">
            <x v="1"/>
          </reference>
        </references>
      </pivotArea>
    </format>
    <format dxfId="12">
      <pivotArea dataOnly="0" labelOnly="1" outline="0" fieldPosition="0">
        <references count="1">
          <reference field="4294967294" count="1">
            <x v="1"/>
          </reference>
        </references>
      </pivotArea>
    </format>
    <format dxfId="11">
      <pivotArea dataOnly="0" outline="0" fieldPosition="0">
        <references count="1">
          <reference field="4294967294" count="1">
            <x v="2"/>
          </reference>
        </references>
      </pivotArea>
    </format>
    <format dxfId="10">
      <pivotArea outline="0" fieldPosition="0">
        <references count="1">
          <reference field="4294967294" count="1">
            <x v="3"/>
          </reference>
        </references>
      </pivotArea>
    </format>
  </formats>
  <chartFormats count="4">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s>
  <pivotHierarchies count="150">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RemainingTerm" cacheId="967"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2" rowHeaderCaption="贷款剩余期限分布" fieldListSortAscending="1">
  <location ref="M20:Q32" firstHeaderRow="0" firstDataRow="1" firstDataCol="1" rowPageCount="2" colPageCount="1"/>
  <pivotFields count="11">
    <pivotField dataField="1" showAll="0"/>
    <pivotField dataField="1" showAll="0"/>
    <pivotField axis="axisRow" allDrilled="1" showAll="0" dataSourceSort="1" defaultAttributeDrillState="1">
      <items count="12">
        <item x="0"/>
        <item x="1"/>
        <item x="2"/>
        <item x="3"/>
        <item x="4"/>
        <item x="5"/>
        <item x="6"/>
        <item x="7"/>
        <item x="8"/>
        <item x="9"/>
        <item x="1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12">
    <i>
      <x/>
    </i>
    <i>
      <x v="1"/>
    </i>
    <i>
      <x v="2"/>
    </i>
    <i>
      <x v="3"/>
    </i>
    <i>
      <x v="4"/>
    </i>
    <i>
      <x v="5"/>
    </i>
    <i>
      <x v="6"/>
    </i>
    <i>
      <x v="7"/>
    </i>
    <i>
      <x v="8"/>
    </i>
    <i>
      <x v="9"/>
    </i>
    <i>
      <x v="10"/>
    </i>
    <i t="grand">
      <x/>
    </i>
  </rowItems>
  <colFields count="1">
    <field x="-2"/>
  </colFields>
  <colItems count="4">
    <i>
      <x/>
    </i>
    <i i="1">
      <x v="1"/>
    </i>
    <i i="2">
      <x v="2"/>
    </i>
    <i i="3">
      <x v="3"/>
    </i>
  </colItems>
  <pageFields count="2">
    <pageField fld="5" hier="70" name="[Pool].[Dim Pool ID].&amp;[10208]" cap="10208"/>
    <pageField fld="4" hier="83" name="[View Dim EC Pass].[EC Pass No].&amp;[ECPass3]" cap="ECPass3"/>
  </pageFields>
  <dataFields count="4">
    <dataField name="本金余额" fld="0" baseField="0" baseItem="0" numFmtId="166"/>
    <dataField name="本金余额占比" fld="9"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10"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19">
      <pivotArea dataOnly="0" labelOnly="1" outline="0" fieldPosition="0">
        <references count="1">
          <reference field="4294967294" count="1">
            <x v="0"/>
          </reference>
        </references>
      </pivotArea>
    </format>
    <format dxfId="18">
      <pivotArea outline="0" fieldPosition="0">
        <references count="1">
          <reference field="4294967294" count="1">
            <x v="1"/>
          </reference>
        </references>
      </pivotArea>
    </format>
    <format dxfId="17">
      <pivotArea dataOnly="0" labelOnly="1" outline="0" fieldPosition="0">
        <references count="1">
          <reference field="4294967294" count="1">
            <x v="1"/>
          </reference>
        </references>
      </pivotArea>
    </format>
    <format dxfId="16">
      <pivotArea dataOnly="0" outline="0" fieldPosition="0">
        <references count="1">
          <reference field="4294967294" count="1">
            <x v="2"/>
          </reference>
        </references>
      </pivotArea>
    </format>
    <format dxfId="15">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15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FiveClass" cacheId="989"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2" rowHeaderCaption="贷款五级分类" fieldListSortAscending="1">
  <location ref="AE20:AI24" firstHeaderRow="0" firstDataRow="1" firstDataCol="1" rowPageCount="2" colPageCount="1"/>
  <pivotFields count="10">
    <pivotField dataField="1" showAll="0"/>
    <pivotField dataField="1" showAll="0"/>
    <pivotField axis="axisRow" allDrilled="1" showAll="0" dataSourceSort="1" defaultAttributeDrillState="1">
      <items count="4">
        <item x="0"/>
        <item x="1"/>
        <item x="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4">
    <i>
      <x/>
    </i>
    <i>
      <x v="1"/>
    </i>
    <i>
      <x v="2"/>
    </i>
    <i t="grand">
      <x/>
    </i>
  </rowItems>
  <colFields count="1">
    <field x="-2"/>
  </colFields>
  <colItems count="4">
    <i>
      <x/>
    </i>
    <i i="1">
      <x v="1"/>
    </i>
    <i i="2">
      <x v="2"/>
    </i>
    <i i="3">
      <x v="3"/>
    </i>
  </colItems>
  <pageFields count="2">
    <pageField fld="4" hier="70" name="[Pool].[Dim Pool ID].&amp;[10208]" cap="10208"/>
    <pageField fld="3" hier="83" name="[View Dim EC Pass].[EC Pass No].&amp;[ECPass3]" cap="ECPass3"/>
  </pageFields>
  <dataFields count="4">
    <dataField name="本金余额" fld="0" baseField="0" baseItem="0" numFmtId="166"/>
    <dataField name="本金余额占比" fld="8"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24">
      <pivotArea dataOnly="0" labelOnly="1" outline="0" fieldPosition="0">
        <references count="1">
          <reference field="4294967294" count="1">
            <x v="0"/>
          </reference>
        </references>
      </pivotArea>
    </format>
    <format dxfId="23">
      <pivotArea outline="0" fieldPosition="0">
        <references count="1">
          <reference field="4294967294" count="1">
            <x v="1"/>
          </reference>
        </references>
      </pivotArea>
    </format>
    <format dxfId="22">
      <pivotArea dataOnly="0" labelOnly="1" outline="0" fieldPosition="0">
        <references count="1">
          <reference field="4294967294" count="1">
            <x v="1"/>
          </reference>
        </references>
      </pivotArea>
    </format>
    <format dxfId="21">
      <pivotArea dataOnly="0" outline="0" fieldPosition="0">
        <references count="1">
          <reference field="4294967294" count="1">
            <x v="2"/>
          </reference>
        </references>
      </pivotArea>
    </format>
    <format dxfId="20">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15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Balance" cacheId="964"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2" rowHeaderCaption="本金余额分布" fieldListSortAscending="1">
  <location ref="Y20:AC39" firstHeaderRow="0" firstDataRow="1" firstDataCol="1" rowPageCount="2" colPageCount="1"/>
  <pivotFields count="11">
    <pivotField dataField="1" showAll="0"/>
    <pivotField dataField="1" showAll="0"/>
    <pivotField axis="axisRow" allDrilled="1" showAll="0" dataSourceSort="1" defaultAttributeDrillState="1">
      <items count="19">
        <item x="0"/>
        <item x="1"/>
        <item x="2"/>
        <item x="3"/>
        <item x="4"/>
        <item x="5"/>
        <item x="6"/>
        <item x="7"/>
        <item x="8"/>
        <item x="9"/>
        <item x="10"/>
        <item x="11"/>
        <item x="12"/>
        <item x="13"/>
        <item x="14"/>
        <item x="15"/>
        <item x="16"/>
        <item x="17"/>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19">
    <i>
      <x/>
    </i>
    <i>
      <x v="1"/>
    </i>
    <i>
      <x v="2"/>
    </i>
    <i>
      <x v="3"/>
    </i>
    <i>
      <x v="4"/>
    </i>
    <i>
      <x v="5"/>
    </i>
    <i>
      <x v="6"/>
    </i>
    <i>
      <x v="7"/>
    </i>
    <i>
      <x v="8"/>
    </i>
    <i>
      <x v="9"/>
    </i>
    <i>
      <x v="10"/>
    </i>
    <i>
      <x v="11"/>
    </i>
    <i>
      <x v="12"/>
    </i>
    <i>
      <x v="13"/>
    </i>
    <i>
      <x v="14"/>
    </i>
    <i>
      <x v="15"/>
    </i>
    <i>
      <x v="16"/>
    </i>
    <i>
      <x v="17"/>
    </i>
    <i t="grand">
      <x/>
    </i>
  </rowItems>
  <colFields count="1">
    <field x="-2"/>
  </colFields>
  <colItems count="4">
    <i>
      <x/>
    </i>
    <i i="1">
      <x v="1"/>
    </i>
    <i i="2">
      <x v="2"/>
    </i>
    <i i="3">
      <x v="3"/>
    </i>
  </colItems>
  <pageFields count="2">
    <pageField fld="5" hier="70" name="[Pool].[Dim Pool ID].&amp;[10208]" cap="10208"/>
    <pageField fld="4" hier="83" name="[View Dim EC Pass].[EC Pass No].&amp;[ECPass3]" cap="ECPass3"/>
  </pageFields>
  <dataFields count="4">
    <dataField name="本金余额" fld="0" baseField="0" baseItem="0" numFmtId="166"/>
    <dataField name="本金余额占比" fld="9"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10"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29">
      <pivotArea dataOnly="0" labelOnly="1" outline="0" fieldPosition="0">
        <references count="1">
          <reference field="4294967294" count="1">
            <x v="0"/>
          </reference>
        </references>
      </pivotArea>
    </format>
    <format dxfId="28">
      <pivotArea outline="0" fieldPosition="0">
        <references count="1">
          <reference field="4294967294" count="1">
            <x v="1"/>
          </reference>
        </references>
      </pivotArea>
    </format>
    <format dxfId="27">
      <pivotArea dataOnly="0" labelOnly="1" outline="0" fieldPosition="0">
        <references count="1">
          <reference field="4294967294" count="1">
            <x v="1"/>
          </reference>
        </references>
      </pivotArea>
    </format>
    <format dxfId="26">
      <pivotArea dataOnly="0" outline="0" fieldPosition="0">
        <references count="1">
          <reference field="4294967294" count="1">
            <x v="2"/>
          </reference>
        </references>
      </pivotArea>
    </format>
    <format dxfId="25">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15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992"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2" rowHeaderCaption="贷款行业分布" fieldListSortAscending="1">
  <location ref="AQ20:AU28" firstHeaderRow="0" firstDataRow="1" firstDataCol="1" rowPageCount="2" colPageCount="1"/>
  <pivotFields count="10">
    <pivotField dataField="1" showAll="0"/>
    <pivotField dataField="1" showAll="0"/>
    <pivotField axis="axisRow" allDrilled="1" showAll="0" dataSourceSort="1" defaultAttributeDrillState="1">
      <items count="8">
        <item x="0"/>
        <item x="1"/>
        <item x="2"/>
        <item x="3"/>
        <item x="4"/>
        <item x="5"/>
        <item x="6"/>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8">
    <i>
      <x/>
    </i>
    <i>
      <x v="1"/>
    </i>
    <i>
      <x v="2"/>
    </i>
    <i>
      <x v="3"/>
    </i>
    <i>
      <x v="4"/>
    </i>
    <i>
      <x v="5"/>
    </i>
    <i>
      <x v="6"/>
    </i>
    <i t="grand">
      <x/>
    </i>
  </rowItems>
  <colFields count="1">
    <field x="-2"/>
  </colFields>
  <colItems count="4">
    <i>
      <x/>
    </i>
    <i i="1">
      <x v="1"/>
    </i>
    <i i="2">
      <x v="2"/>
    </i>
    <i i="3">
      <x v="3"/>
    </i>
  </colItems>
  <pageFields count="2">
    <pageField fld="4" hier="70" name="[Pool].[Dim Pool ID].&amp;[10208]" cap="10208"/>
    <pageField fld="3" hier="83" name="[View Dim EC Pass].[EC Pass No].&amp;[ECPass3]" cap="ECPass3"/>
  </pageFields>
  <dataFields count="4">
    <dataField name="本金余额" fld="0" baseField="0" baseItem="0" numFmtId="166"/>
    <dataField name="本金余额占比" fld="8"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34">
      <pivotArea dataOnly="0" labelOnly="1" outline="0" fieldPosition="0">
        <references count="1">
          <reference field="4294967294" count="1">
            <x v="0"/>
          </reference>
        </references>
      </pivotArea>
    </format>
    <format dxfId="33">
      <pivotArea outline="0" fieldPosition="0">
        <references count="1">
          <reference field="4294967294" count="1">
            <x v="1"/>
          </reference>
        </references>
      </pivotArea>
    </format>
    <format dxfId="32">
      <pivotArea dataOnly="0" labelOnly="1" outline="0" fieldPosition="0">
        <references count="1">
          <reference field="4294967294" count="1">
            <x v="1"/>
          </reference>
        </references>
      </pivotArea>
    </format>
    <format dxfId="31">
      <pivotArea dataOnly="0" outline="0" fieldPosition="0">
        <references count="1">
          <reference field="4294967294" count="1">
            <x v="2"/>
          </reference>
        </references>
      </pivotArea>
    </format>
    <format dxfId="30">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15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ContractTerm" cacheId="9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4" rowHeaderCaption="合同期限分布" fieldListSortAscending="1">
  <location ref="A20:E34" firstHeaderRow="0" firstDataRow="1" firstDataCol="1" rowPageCount="2" colPageCount="1"/>
  <pivotFields count="11">
    <pivotField axis="axisRow" allDrilled="1" showAll="0" dataSourceSort="1" defaultAttributeDrillState="1">
      <items count="14">
        <item x="0"/>
        <item x="1"/>
        <item x="2"/>
        <item x="3"/>
        <item x="4"/>
        <item x="5"/>
        <item x="6"/>
        <item x="7"/>
        <item x="8"/>
        <item x="9"/>
        <item x="10"/>
        <item x="11"/>
        <item x="12"/>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14">
    <i>
      <x/>
    </i>
    <i>
      <x v="1"/>
    </i>
    <i>
      <x v="2"/>
    </i>
    <i>
      <x v="3"/>
    </i>
    <i>
      <x v="4"/>
    </i>
    <i>
      <x v="5"/>
    </i>
    <i>
      <x v="6"/>
    </i>
    <i>
      <x v="7"/>
    </i>
    <i>
      <x v="8"/>
    </i>
    <i>
      <x v="9"/>
    </i>
    <i>
      <x v="10"/>
    </i>
    <i>
      <x v="11"/>
    </i>
    <i>
      <x v="12"/>
    </i>
    <i t="grand">
      <x/>
    </i>
  </rowItems>
  <colFields count="1">
    <field x="-2"/>
  </colFields>
  <colItems count="4">
    <i>
      <x/>
    </i>
    <i i="1">
      <x v="1"/>
    </i>
    <i i="2">
      <x v="2"/>
    </i>
    <i i="3">
      <x v="3"/>
    </i>
  </colItems>
  <pageFields count="2">
    <pageField fld="5" hier="70" name="[Pool].[Dim Pool ID].&amp;[10208]" cap="10208"/>
    <pageField fld="4" hier="83" name="[View Dim EC Pass].[EC Pass No].&amp;[ECPass3]" cap="ECPass3"/>
  </pageFields>
  <dataFields count="4">
    <dataField name="本金余额" fld="2" baseField="0" baseItem="0" numFmtId="166"/>
    <dataField name="本金余额占比" fld="9" showDataAs="percentOfTotal" baseField="0" baseItem="0" numFmtId="10">
      <extLst>
        <ext xmlns:x14="http://schemas.microsoft.com/office/spreadsheetml/2009/9/main" uri="{E15A36E0-9728-4e99-A89B-3F7291B0FE68}">
          <x14:dataField sourceField="2" uniqueName="[__Xl2].[Measures].[Current Principal Balance]"/>
        </ext>
      </extLst>
    </dataField>
    <dataField fld="3" baseField="0" baseItem="0"/>
    <dataField name="贷款笔数占比" fld="10" showDataAs="percentOfTotal" baseField="0" baseItem="0" numFmtId="10">
      <extLst>
        <ext xmlns:x14="http://schemas.microsoft.com/office/spreadsheetml/2009/9/main" uri="{E15A36E0-9728-4e99-A89B-3F7291B0FE68}">
          <x14:dataField sourceField="3" uniqueName="[__Xl2].[Measures].[Loan Count]"/>
        </ext>
      </extLst>
    </dataField>
  </dataFields>
  <formats count="5">
    <format dxfId="39">
      <pivotArea dataOnly="0" labelOnly="1" outline="0" fieldPosition="0">
        <references count="1">
          <reference field="4294967294" count="1">
            <x v="0"/>
          </reference>
        </references>
      </pivotArea>
    </format>
    <format dxfId="38">
      <pivotArea outline="0" fieldPosition="0">
        <references count="1">
          <reference field="4294967294" count="1">
            <x v="1"/>
          </reference>
        </references>
      </pivotArea>
    </format>
    <format dxfId="37">
      <pivotArea dataOnly="0" labelOnly="1" outline="0" fieldPosition="0">
        <references count="1">
          <reference field="4294967294" count="1">
            <x v="1"/>
          </reference>
        </references>
      </pivotArea>
    </format>
    <format dxfId="36">
      <pivotArea dataOnly="0" outline="0" fieldPosition="0">
        <references count="1">
          <reference field="4294967294" count="1">
            <x v="2"/>
          </reference>
        </references>
      </pivotArea>
    </format>
    <format dxfId="35">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15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958"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2" rowHeaderCaption="贷款担保分布" fieldListSortAscending="1">
  <location ref="AW20:BA37" firstHeaderRow="0" firstDataRow="1" firstDataCol="1" rowPageCount="2" colPageCount="1"/>
  <pivotFields count="10">
    <pivotField dataField="1" showAll="0"/>
    <pivotField dataField="1" showAll="0"/>
    <pivotField axis="axisRow" allDrilled="1" showAll="0" dataSourceSort="1" defaultAttributeDrillState="1">
      <items count="17">
        <item x="0"/>
        <item x="1"/>
        <item x="2"/>
        <item x="3"/>
        <item x="4"/>
        <item x="5"/>
        <item x="6"/>
        <item x="7"/>
        <item x="8"/>
        <item x="9"/>
        <item x="10"/>
        <item x="11"/>
        <item x="12"/>
        <item x="13"/>
        <item x="14"/>
        <item x="15"/>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17">
    <i>
      <x/>
    </i>
    <i>
      <x v="1"/>
    </i>
    <i>
      <x v="2"/>
    </i>
    <i>
      <x v="3"/>
    </i>
    <i>
      <x v="4"/>
    </i>
    <i>
      <x v="5"/>
    </i>
    <i>
      <x v="6"/>
    </i>
    <i>
      <x v="7"/>
    </i>
    <i>
      <x v="8"/>
    </i>
    <i>
      <x v="9"/>
    </i>
    <i>
      <x v="10"/>
    </i>
    <i>
      <x v="11"/>
    </i>
    <i>
      <x v="12"/>
    </i>
    <i>
      <x v="13"/>
    </i>
    <i>
      <x v="14"/>
    </i>
    <i>
      <x v="15"/>
    </i>
    <i t="grand">
      <x/>
    </i>
  </rowItems>
  <colFields count="1">
    <field x="-2"/>
  </colFields>
  <colItems count="4">
    <i>
      <x/>
    </i>
    <i i="1">
      <x v="1"/>
    </i>
    <i i="2">
      <x v="2"/>
    </i>
    <i i="3">
      <x v="3"/>
    </i>
  </colItems>
  <pageFields count="2">
    <pageField fld="4" hier="70" name="[Pool].[Dim Pool ID].&amp;[10208]" cap="10208"/>
    <pageField fld="3" hier="83" name="[View Dim EC Pass].[EC Pass No].&amp;[ECPass3]" cap="ECPass3"/>
  </pageFields>
  <dataFields count="4">
    <dataField name="本金余额" fld="0" baseField="0" baseItem="0" numFmtId="166"/>
    <dataField name="本金余额占比" fld="8"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44">
      <pivotArea dataOnly="0" labelOnly="1" outline="0" fieldPosition="0">
        <references count="1">
          <reference field="4294967294" count="1">
            <x v="0"/>
          </reference>
        </references>
      </pivotArea>
    </format>
    <format dxfId="43">
      <pivotArea outline="0" fieldPosition="0">
        <references count="1">
          <reference field="4294967294" count="1">
            <x v="1"/>
          </reference>
        </references>
      </pivotArea>
    </format>
    <format dxfId="42">
      <pivotArea dataOnly="0" labelOnly="1" outline="0" fieldPosition="0">
        <references count="1">
          <reference field="4294967294" count="1">
            <x v="1"/>
          </reference>
        </references>
      </pivotArea>
    </format>
    <format dxfId="41">
      <pivotArea dataOnly="0" outline="0" fieldPosition="0">
        <references count="1">
          <reference field="4294967294" count="1">
            <x v="2"/>
          </reference>
        </references>
      </pivotArea>
    </format>
    <format dxfId="40">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15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Branch" cacheId="961"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4" rowHeaderCaption="贷款区域分布" fieldListSortAscending="1">
  <location ref="AK20:AO29" firstHeaderRow="0" firstDataRow="1" firstDataCol="1" rowPageCount="2" colPageCount="1"/>
  <pivotFields count="10">
    <pivotField dataField="1" showAll="0"/>
    <pivotField dataField="1" showAll="0"/>
    <pivotField axis="axisRow" allDrilled="1" showAll="0" dataSourceSort="1" defaultAttributeDrillState="1">
      <items count="9">
        <item x="0"/>
        <item x="1"/>
        <item x="2"/>
        <item x="3"/>
        <item x="4"/>
        <item x="5"/>
        <item x="6"/>
        <item x="7"/>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9">
    <i>
      <x/>
    </i>
    <i>
      <x v="1"/>
    </i>
    <i>
      <x v="2"/>
    </i>
    <i>
      <x v="3"/>
    </i>
    <i>
      <x v="4"/>
    </i>
    <i>
      <x v="5"/>
    </i>
    <i>
      <x v="6"/>
    </i>
    <i>
      <x v="7"/>
    </i>
    <i t="grand">
      <x/>
    </i>
  </rowItems>
  <colFields count="1">
    <field x="-2"/>
  </colFields>
  <colItems count="4">
    <i>
      <x/>
    </i>
    <i i="1">
      <x v="1"/>
    </i>
    <i i="2">
      <x v="2"/>
    </i>
    <i i="3">
      <x v="3"/>
    </i>
  </colItems>
  <pageFields count="2">
    <pageField fld="4" hier="70" name="[Pool].[Dim Pool ID].&amp;[10208]" cap="10208"/>
    <pageField fld="3" hier="83" name="[View Dim EC Pass].[EC Pass No].&amp;[ECPass3]" cap="ECPass3"/>
  </pageFields>
  <dataFields count="4">
    <dataField name="本金余额" fld="0" baseField="0" baseItem="0" numFmtId="166"/>
    <dataField name="本金余额占比" fld="8"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49">
      <pivotArea dataOnly="0" labelOnly="1" outline="0" fieldPosition="0">
        <references count="1">
          <reference field="4294967294" count="1">
            <x v="0"/>
          </reference>
        </references>
      </pivotArea>
    </format>
    <format dxfId="48">
      <pivotArea outline="0" fieldPosition="0">
        <references count="1">
          <reference field="4294967294" count="1">
            <x v="1"/>
          </reference>
        </references>
      </pivotArea>
    </format>
    <format dxfId="47">
      <pivotArea dataOnly="0" labelOnly="1" outline="0" fieldPosition="0">
        <references count="1">
          <reference field="4294967294" count="1">
            <x v="1"/>
          </reference>
        </references>
      </pivotArea>
    </format>
    <format dxfId="46">
      <pivotArea dataOnly="0" outline="0" fieldPosition="0">
        <references count="1">
          <reference field="4294967294" count="1">
            <x v="2"/>
          </reference>
        </references>
      </pivotArea>
    </format>
    <format dxfId="45">
      <pivotArea outline="0" fieldPosition="0">
        <references count="1">
          <reference field="4294967294" count="1">
            <x v="3"/>
          </reference>
        </references>
      </pivotArea>
    </format>
  </formats>
  <chartFormats count="4">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s>
  <pivotHierarchies count="15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ReportsALR" cacheId="977" applyNumberFormats="0" applyBorderFormats="0" applyFontFormats="0" applyPatternFormats="0" applyAlignmentFormats="0" applyWidthHeightFormats="1" dataCaption="筛选条件报表" updatedVersion="5" minRefreshableVersion="3" showDrill="0" useAutoFormatting="1" rowGrandTotals="0" colGrandTotals="0" itemPrintTitles="1" createdVersion="5" indent="0" compact="0" compactData="0" gridDropZones="1" multipleFieldFilters="0" fieldListSortAscending="1">
  <location ref="G3:J6"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1">
        <item x="0"/>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3">
        <item x="0"/>
        <item x="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rowItems count="2">
    <i>
      <x/>
      <x/>
    </i>
    <i r="1">
      <x v="1"/>
    </i>
  </rowItems>
  <colFields count="1">
    <field x="-2"/>
  </colFields>
  <colItems count="2">
    <i>
      <x/>
    </i>
    <i i="1">
      <x v="1"/>
    </i>
  </colItems>
  <pageFields count="1">
    <pageField fld="12" hier="83" name="[View Dim EC Pass].[EC Pass No].[All]" cap="All"/>
  </pageFields>
  <dataFields count="2">
    <dataField name="贷款相关" fld="0" baseField="0" baseItem="0"/>
    <dataField name="客户相关" fld="13" baseField="0" baseItem="0"/>
  </dataFields>
  <pivotHierarchies count="148">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70"/>
    <rowHierarchyUsage hierarchyUsage="3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ReportsDT" cacheId="974"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fieldListSortAscending="1">
  <location ref="B1:D5"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1">
        <item x="0"/>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rowItems count="3">
    <i>
      <x/>
      <x/>
    </i>
    <i r="1">
      <x v="1"/>
    </i>
    <i t="grand">
      <x/>
    </i>
  </rowItems>
  <colItems count="1">
    <i/>
  </colItems>
  <dataFields count="1">
    <dataField name="资产池日报表" fld="0" baseField="2" baseItem="0"/>
  </dataFields>
  <pivotHierarchies count="148">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70"/>
    <rowHierarchyUsage hierarchyUsage="28"/>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91">
      <levels count="2">
        <level uniqueName="[Pool].[Dim Pool ID].[(All)]" sourceCaption="(All)" count="0"/>
        <level uniqueName="[Pool].[Dim Pool ID].[Dim Pool ID]" sourceCaption="Dim Pool ID" count="1">
          <ranges>
            <range startItem="0">
              <i n="[Pool].[Dim Pool ID].&amp;[10208]" c="10208"/>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 Type="http://schemas.openxmlformats.org/officeDocument/2006/relationships/drawing" Target="../drawings/drawing1.xml"/><Relationship Id="rId21" Type="http://schemas.openxmlformats.org/officeDocument/2006/relationships/control" Target="../activeX/activeX9.xml"/><Relationship Id="rId7" Type="http://schemas.openxmlformats.org/officeDocument/2006/relationships/control" Target="../activeX/activeX2.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2" Type="http://schemas.openxmlformats.org/officeDocument/2006/relationships/printerSettings" Target="../printerSettings/printerSettings1.bin"/><Relationship Id="rId16" Type="http://schemas.openxmlformats.org/officeDocument/2006/relationships/image" Target="../media/image6.emf"/><Relationship Id="rId20" Type="http://schemas.openxmlformats.org/officeDocument/2006/relationships/image" Target="../media/image8.emf"/><Relationship Id="rId29" Type="http://schemas.openxmlformats.org/officeDocument/2006/relationships/control" Target="../activeX/activeX13.xml"/><Relationship Id="rId1" Type="http://schemas.openxmlformats.org/officeDocument/2006/relationships/pivotTable" Target="../pivotTables/pivotTable1.xml"/><Relationship Id="rId6" Type="http://schemas.openxmlformats.org/officeDocument/2006/relationships/image" Target="../media/image1.emf"/><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3" Type="http://schemas.openxmlformats.org/officeDocument/2006/relationships/pivotTable" Target="../pivotTables/pivotTable5.xml"/><Relationship Id="rId7" Type="http://schemas.openxmlformats.org/officeDocument/2006/relationships/pivotTable" Target="../pivotTables/pivotTable9.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drawing" Target="../drawings/drawing2.xml"/><Relationship Id="rId5" Type="http://schemas.openxmlformats.org/officeDocument/2006/relationships/pivotTable" Target="../pivotTables/pivotTable7.xml"/><Relationship Id="rId10" Type="http://schemas.openxmlformats.org/officeDocument/2006/relationships/printerSettings" Target="../printerSettings/printerSettings3.bin"/><Relationship Id="rId4" Type="http://schemas.openxmlformats.org/officeDocument/2006/relationships/pivotTable" Target="../pivotTables/pivotTable6.xml"/><Relationship Id="rId9" Type="http://schemas.openxmlformats.org/officeDocument/2006/relationships/pivotTable" Target="../pivotTables/pivotTable1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13.xml"/><Relationship Id="rId1" Type="http://schemas.openxmlformats.org/officeDocument/2006/relationships/pivotTable" Target="../pivotTables/pivotTable1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21"/>
  <sheetViews>
    <sheetView showGridLines="0" showRowColHeaders="0" workbookViewId="0">
      <selection activeCell="C1" sqref="C1"/>
    </sheetView>
  </sheetViews>
  <sheetFormatPr defaultColWidth="9.109375" defaultRowHeight="13.8" x14ac:dyDescent="0.3"/>
  <cols>
    <col min="1" max="1" width="37" style="20" customWidth="1"/>
    <col min="2" max="2" width="30.5546875" style="20" customWidth="1"/>
    <col min="3" max="4" width="29.33203125" style="20" customWidth="1"/>
    <col min="5" max="5" width="14.88671875" style="20" customWidth="1"/>
    <col min="6" max="6" width="53.88671875" style="20" customWidth="1"/>
    <col min="7" max="8" width="19.88671875" style="20" customWidth="1"/>
    <col min="9" max="9" width="13.44140625" style="20" customWidth="1"/>
    <col min="10" max="16384" width="9.109375" style="20"/>
  </cols>
  <sheetData>
    <row r="1" spans="1:6" ht="60" customHeight="1" x14ac:dyDescent="0.3"/>
    <row r="2" spans="1:6" ht="14.4" x14ac:dyDescent="0.3">
      <c r="A2" s="37" t="s">
        <v>91</v>
      </c>
      <c r="B2" s="18" t="s" vm="3">
        <v>127</v>
      </c>
    </row>
    <row r="3" spans="1:6" ht="14.4" x14ac:dyDescent="0.3">
      <c r="A3" s="37" t="s">
        <v>92</v>
      </c>
      <c r="B3" s="18" t="s" vm="2">
        <v>111</v>
      </c>
    </row>
    <row r="4" spans="1:6" ht="37.5" customHeight="1" x14ac:dyDescent="0.3">
      <c r="F4" s="13"/>
    </row>
    <row r="5" spans="1:6" ht="39.9" customHeight="1" x14ac:dyDescent="0.3">
      <c r="A5" s="39" t="s">
        <v>2</v>
      </c>
      <c r="B5" s="39" t="s">
        <v>6</v>
      </c>
      <c r="C5" s="38"/>
      <c r="D5" s="38"/>
      <c r="E5" s="38"/>
    </row>
    <row r="6" spans="1:6" ht="39.9" customHeight="1" x14ac:dyDescent="0.3">
      <c r="A6" s="16" t="s">
        <v>7</v>
      </c>
      <c r="B6" s="16" t="s">
        <v>0</v>
      </c>
      <c r="E6" s="40" t="s">
        <v>5</v>
      </c>
    </row>
    <row r="7" spans="1:6" ht="39.9" customHeight="1" x14ac:dyDescent="0.3">
      <c r="A7" s="39" t="s">
        <v>15</v>
      </c>
      <c r="B7" s="39" t="s">
        <v>15</v>
      </c>
      <c r="C7" s="39" t="s">
        <v>15</v>
      </c>
      <c r="D7" s="39" t="s">
        <v>15</v>
      </c>
      <c r="E7" s="39" t="s">
        <v>15</v>
      </c>
    </row>
    <row r="8" spans="1:6" ht="39.9" customHeight="1" x14ac:dyDescent="0.3">
      <c r="A8" s="17" t="s">
        <v>8</v>
      </c>
      <c r="B8" s="16" t="s">
        <v>10</v>
      </c>
      <c r="E8" s="40" t="s">
        <v>5</v>
      </c>
    </row>
    <row r="9" spans="1:6" ht="39.9" customHeight="1" x14ac:dyDescent="0.3">
      <c r="A9" s="17" t="s">
        <v>11</v>
      </c>
      <c r="B9" s="16" t="s">
        <v>12</v>
      </c>
      <c r="E9" s="40" t="s">
        <v>5</v>
      </c>
    </row>
    <row r="10" spans="1:6" ht="39.9" customHeight="1" x14ac:dyDescent="0.3">
      <c r="A10" s="17" t="s">
        <v>13</v>
      </c>
      <c r="B10" s="16" t="s">
        <v>14</v>
      </c>
      <c r="E10" s="40" t="s">
        <v>5</v>
      </c>
    </row>
    <row r="11" spans="1:6" ht="39.9" customHeight="1" x14ac:dyDescent="0.3">
      <c r="A11" s="39" t="s">
        <v>16</v>
      </c>
      <c r="B11" s="39"/>
      <c r="C11" s="39"/>
      <c r="D11" s="39"/>
      <c r="E11" s="39"/>
    </row>
    <row r="12" spans="1:6" ht="39.9" customHeight="1" x14ac:dyDescent="0.3">
      <c r="A12" s="17" t="s">
        <v>20</v>
      </c>
      <c r="B12" s="16" t="s">
        <v>18</v>
      </c>
      <c r="E12" s="40" t="s">
        <v>5</v>
      </c>
    </row>
    <row r="13" spans="1:6" ht="39.9" customHeight="1" x14ac:dyDescent="0.3">
      <c r="A13" s="17" t="s">
        <v>19</v>
      </c>
      <c r="B13" s="16" t="s">
        <v>21</v>
      </c>
      <c r="E13" s="40" t="s">
        <v>5</v>
      </c>
    </row>
    <row r="14" spans="1:6" ht="39.9" customHeight="1" x14ac:dyDescent="0.3">
      <c r="A14" s="39" t="s">
        <v>23</v>
      </c>
      <c r="B14" s="39"/>
      <c r="C14" s="39"/>
      <c r="D14" s="39"/>
      <c r="E14" s="39"/>
    </row>
    <row r="15" spans="1:6" ht="39.9" customHeight="1" x14ac:dyDescent="0.3">
      <c r="A15" s="15" t="s">
        <v>24</v>
      </c>
      <c r="B15" s="16" t="s">
        <v>25</v>
      </c>
      <c r="E15" s="40" t="s">
        <v>5</v>
      </c>
    </row>
    <row r="16" spans="1:6" ht="39.9" customHeight="1" x14ac:dyDescent="0.3">
      <c r="A16" s="15" t="s">
        <v>26</v>
      </c>
      <c r="B16" s="16" t="s">
        <v>27</v>
      </c>
      <c r="E16" s="40" t="s">
        <v>5</v>
      </c>
    </row>
    <row r="17" spans="1:5" ht="39.9" customHeight="1" x14ac:dyDescent="0.3">
      <c r="A17" s="15" t="s">
        <v>28</v>
      </c>
      <c r="B17" s="16" t="s">
        <v>29</v>
      </c>
      <c r="E17" s="40" t="s">
        <v>5</v>
      </c>
    </row>
    <row r="18" spans="1:5" ht="39.9" customHeight="1" x14ac:dyDescent="0.3">
      <c r="A18" s="15" t="s">
        <v>30</v>
      </c>
      <c r="B18" s="16" t="s">
        <v>31</v>
      </c>
      <c r="E18" s="40" t="s">
        <v>5</v>
      </c>
    </row>
    <row r="19" spans="1:5" ht="39.9" customHeight="1" x14ac:dyDescent="0.3">
      <c r="A19" s="39" t="s">
        <v>4</v>
      </c>
      <c r="B19" s="39"/>
      <c r="C19" s="39"/>
      <c r="D19" s="39"/>
      <c r="E19" s="39"/>
    </row>
    <row r="20" spans="1:5" ht="39.9" customHeight="1" x14ac:dyDescent="0.3">
      <c r="A20" s="16" t="s">
        <v>96</v>
      </c>
      <c r="B20" s="16" t="s">
        <v>97</v>
      </c>
      <c r="E20" s="36" t="s">
        <v>5</v>
      </c>
    </row>
    <row r="21" spans="1:5" ht="39.9" customHeight="1" x14ac:dyDescent="0.3">
      <c r="A21" s="16" t="s">
        <v>3</v>
      </c>
      <c r="B21" s="16" t="s">
        <v>1</v>
      </c>
      <c r="E21" s="36" t="s">
        <v>5</v>
      </c>
    </row>
  </sheetData>
  <hyperlinks>
    <hyperlink ref="E8" location="Distributions!A20" display="查看"/>
    <hyperlink ref="E9" location="Distributions!G20" display="查看"/>
    <hyperlink ref="E10" location="Distributions!M20" display="查看"/>
    <hyperlink ref="E12" location="Distributions!S20" display="查看"/>
    <hyperlink ref="E13" location="Distributions!Y20" display="查看"/>
    <hyperlink ref="E15" location="Distributions!AE20" display="查看"/>
    <hyperlink ref="E16" location="Distributions!AK20" display="查看"/>
    <hyperlink ref="E17" location="Distributions!AQ20" display="查看"/>
    <hyperlink ref="E18" location="Distributions!AW20" display="查看"/>
    <hyperlink ref="E21" location="Reports!A1" display="Check"/>
    <hyperlink ref="E6" location="PoolStatistics!A1" display="查看"/>
    <hyperlink ref="E20" location="Reports!A1" display="Check"/>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56" r:id="rId5" name="btnRefreshAll">
          <controlPr autoLine="0" r:id="rId6">
            <anchor moveWithCells="1">
              <from>
                <xdr:col>2</xdr:col>
                <xdr:colOff>68580</xdr:colOff>
                <xdr:row>4</xdr:row>
                <xdr:rowOff>68580</xdr:rowOff>
              </from>
              <to>
                <xdr:col>4</xdr:col>
                <xdr:colOff>853440</xdr:colOff>
                <xdr:row>4</xdr:row>
                <xdr:rowOff>449580</xdr:rowOff>
              </to>
            </anchor>
          </controlPr>
        </control>
      </mc:Choice>
      <mc:Fallback>
        <control shapeId="1056" r:id="rId5" name="btnRefreshAll"/>
      </mc:Fallback>
    </mc:AlternateContent>
    <mc:AlternateContent xmlns:mc="http://schemas.openxmlformats.org/markup-compatibility/2006">
      <mc:Choice Requires="x14">
        <control shapeId="1055" r:id="rId7" name="btnptReportsDT">
          <controlPr autoLine="0" r:id="rId8">
            <anchor moveWithCells="1">
              <from>
                <xdr:col>2</xdr:col>
                <xdr:colOff>99060</xdr:colOff>
                <xdr:row>20</xdr:row>
                <xdr:rowOff>106680</xdr:rowOff>
              </from>
              <to>
                <xdr:col>2</xdr:col>
                <xdr:colOff>1821180</xdr:colOff>
                <xdr:row>20</xdr:row>
                <xdr:rowOff>419100</xdr:rowOff>
              </to>
            </anchor>
          </controlPr>
        </control>
      </mc:Choice>
      <mc:Fallback>
        <control shapeId="1055" r:id="rId7" name="btnptReportsDT"/>
      </mc:Fallback>
    </mc:AlternateContent>
    <mc:AlternateContent xmlns:mc="http://schemas.openxmlformats.org/markup-compatibility/2006">
      <mc:Choice Requires="x14">
        <control shapeId="1038" r:id="rId9" name="btnptDistGuarantee">
          <controlPr autoLine="0" r:id="rId10">
            <anchor moveWithCells="1">
              <from>
                <xdr:col>2</xdr:col>
                <xdr:colOff>99060</xdr:colOff>
                <xdr:row>17</xdr:row>
                <xdr:rowOff>106680</xdr:rowOff>
              </from>
              <to>
                <xdr:col>2</xdr:col>
                <xdr:colOff>1821180</xdr:colOff>
                <xdr:row>17</xdr:row>
                <xdr:rowOff>419100</xdr:rowOff>
              </to>
            </anchor>
          </controlPr>
        </control>
      </mc:Choice>
      <mc:Fallback>
        <control shapeId="1038" r:id="rId9" name="btnptDistGuarantee"/>
      </mc:Fallback>
    </mc:AlternateContent>
    <mc:AlternateContent xmlns:mc="http://schemas.openxmlformats.org/markup-compatibility/2006">
      <mc:Choice Requires="x14">
        <control shapeId="1037" r:id="rId11" name="btnptDistCustomerSector">
          <controlPr autoLine="0" r:id="rId12">
            <anchor moveWithCells="1">
              <from>
                <xdr:col>2</xdr:col>
                <xdr:colOff>99060</xdr:colOff>
                <xdr:row>16</xdr:row>
                <xdr:rowOff>106680</xdr:rowOff>
              </from>
              <to>
                <xdr:col>2</xdr:col>
                <xdr:colOff>1821180</xdr:colOff>
                <xdr:row>16</xdr:row>
                <xdr:rowOff>419100</xdr:rowOff>
              </to>
            </anchor>
          </controlPr>
        </control>
      </mc:Choice>
      <mc:Fallback>
        <control shapeId="1037" r:id="rId11" name="btnptDistCustomerSector"/>
      </mc:Fallback>
    </mc:AlternateContent>
    <mc:AlternateContent xmlns:mc="http://schemas.openxmlformats.org/markup-compatibility/2006">
      <mc:Choice Requires="x14">
        <control shapeId="1036" r:id="rId13" name="btnptDistBranch">
          <controlPr autoLine="0" r:id="rId14">
            <anchor moveWithCells="1">
              <from>
                <xdr:col>2</xdr:col>
                <xdr:colOff>99060</xdr:colOff>
                <xdr:row>15</xdr:row>
                <xdr:rowOff>106680</xdr:rowOff>
              </from>
              <to>
                <xdr:col>2</xdr:col>
                <xdr:colOff>1821180</xdr:colOff>
                <xdr:row>15</xdr:row>
                <xdr:rowOff>419100</xdr:rowOff>
              </to>
            </anchor>
          </controlPr>
        </control>
      </mc:Choice>
      <mc:Fallback>
        <control shapeId="1036" r:id="rId13" name="btnptDistBranch"/>
      </mc:Fallback>
    </mc:AlternateContent>
    <mc:AlternateContent xmlns:mc="http://schemas.openxmlformats.org/markup-compatibility/2006">
      <mc:Choice Requires="x14">
        <control shapeId="1035" r:id="rId15" name="btnptDistFiveClass">
          <controlPr autoLine="0" r:id="rId16">
            <anchor moveWithCells="1">
              <from>
                <xdr:col>2</xdr:col>
                <xdr:colOff>99060</xdr:colOff>
                <xdr:row>14</xdr:row>
                <xdr:rowOff>106680</xdr:rowOff>
              </from>
              <to>
                <xdr:col>2</xdr:col>
                <xdr:colOff>1821180</xdr:colOff>
                <xdr:row>14</xdr:row>
                <xdr:rowOff>419100</xdr:rowOff>
              </to>
            </anchor>
          </controlPr>
        </control>
      </mc:Choice>
      <mc:Fallback>
        <control shapeId="1035" r:id="rId15" name="btnptDistFiveClass"/>
      </mc:Fallback>
    </mc:AlternateContent>
    <mc:AlternateContent xmlns:mc="http://schemas.openxmlformats.org/markup-compatibility/2006">
      <mc:Choice Requires="x14">
        <control shapeId="1033" r:id="rId17" name="btnptDistBalance">
          <controlPr autoLine="0" r:id="rId18">
            <anchor moveWithCells="1">
              <from>
                <xdr:col>2</xdr:col>
                <xdr:colOff>99060</xdr:colOff>
                <xdr:row>12</xdr:row>
                <xdr:rowOff>106680</xdr:rowOff>
              </from>
              <to>
                <xdr:col>2</xdr:col>
                <xdr:colOff>1821180</xdr:colOff>
                <xdr:row>12</xdr:row>
                <xdr:rowOff>419100</xdr:rowOff>
              </to>
            </anchor>
          </controlPr>
        </control>
      </mc:Choice>
      <mc:Fallback>
        <control shapeId="1033" r:id="rId17" name="btnptDistBalance"/>
      </mc:Fallback>
    </mc:AlternateContent>
    <mc:AlternateContent xmlns:mc="http://schemas.openxmlformats.org/markup-compatibility/2006">
      <mc:Choice Requires="x14">
        <control shapeId="1032" r:id="rId19" name="btnptDistInterest">
          <controlPr autoLine="0" r:id="rId20">
            <anchor moveWithCells="1">
              <from>
                <xdr:col>2</xdr:col>
                <xdr:colOff>99060</xdr:colOff>
                <xdr:row>11</xdr:row>
                <xdr:rowOff>106680</xdr:rowOff>
              </from>
              <to>
                <xdr:col>2</xdr:col>
                <xdr:colOff>1821180</xdr:colOff>
                <xdr:row>11</xdr:row>
                <xdr:rowOff>419100</xdr:rowOff>
              </to>
            </anchor>
          </controlPr>
        </control>
      </mc:Choice>
      <mc:Fallback>
        <control shapeId="1032" r:id="rId19" name="btnptDistInterest"/>
      </mc:Fallback>
    </mc:AlternateContent>
    <mc:AlternateContent xmlns:mc="http://schemas.openxmlformats.org/markup-compatibility/2006">
      <mc:Choice Requires="x14">
        <control shapeId="1031" r:id="rId21" name="btnptDistRemainingTerm">
          <controlPr autoLine="0" r:id="rId22">
            <anchor moveWithCells="1">
              <from>
                <xdr:col>2</xdr:col>
                <xdr:colOff>99060</xdr:colOff>
                <xdr:row>9</xdr:row>
                <xdr:rowOff>106680</xdr:rowOff>
              </from>
              <to>
                <xdr:col>2</xdr:col>
                <xdr:colOff>1821180</xdr:colOff>
                <xdr:row>9</xdr:row>
                <xdr:rowOff>419100</xdr:rowOff>
              </to>
            </anchor>
          </controlPr>
        </control>
      </mc:Choice>
      <mc:Fallback>
        <control shapeId="1031" r:id="rId21" name="btnptDistRemainingTerm"/>
      </mc:Fallback>
    </mc:AlternateContent>
    <mc:AlternateContent xmlns:mc="http://schemas.openxmlformats.org/markup-compatibility/2006">
      <mc:Choice Requires="x14">
        <control shapeId="1030" r:id="rId23" name="btnptDistSeasoning">
          <controlPr autoLine="0" r:id="rId24">
            <anchor moveWithCells="1">
              <from>
                <xdr:col>2</xdr:col>
                <xdr:colOff>99060</xdr:colOff>
                <xdr:row>8</xdr:row>
                <xdr:rowOff>106680</xdr:rowOff>
              </from>
              <to>
                <xdr:col>2</xdr:col>
                <xdr:colOff>1821180</xdr:colOff>
                <xdr:row>8</xdr:row>
                <xdr:rowOff>419100</xdr:rowOff>
              </to>
            </anchor>
          </controlPr>
        </control>
      </mc:Choice>
      <mc:Fallback>
        <control shapeId="1030" r:id="rId23" name="btnptDistSeasoning"/>
      </mc:Fallback>
    </mc:AlternateContent>
    <mc:AlternateContent xmlns:mc="http://schemas.openxmlformats.org/markup-compatibility/2006">
      <mc:Choice Requires="x14">
        <control shapeId="1029" r:id="rId25" name="btnptDistContractTerm">
          <controlPr autoLine="0" r:id="rId26">
            <anchor moveWithCells="1">
              <from>
                <xdr:col>2</xdr:col>
                <xdr:colOff>99060</xdr:colOff>
                <xdr:row>7</xdr:row>
                <xdr:rowOff>106680</xdr:rowOff>
              </from>
              <to>
                <xdr:col>2</xdr:col>
                <xdr:colOff>1821180</xdr:colOff>
                <xdr:row>7</xdr:row>
                <xdr:rowOff>419100</xdr:rowOff>
              </to>
            </anchor>
          </controlPr>
        </control>
      </mc:Choice>
      <mc:Fallback>
        <control shapeId="1029" r:id="rId25" name="btnptDistContractTerm"/>
      </mc:Fallback>
    </mc:AlternateContent>
    <mc:AlternateContent xmlns:mc="http://schemas.openxmlformats.org/markup-compatibility/2006">
      <mc:Choice Requires="x14">
        <control shapeId="1028" r:id="rId27" name="btnptSummary">
          <controlPr autoLine="0" r:id="rId28">
            <anchor moveWithCells="1">
              <from>
                <xdr:col>2</xdr:col>
                <xdr:colOff>99060</xdr:colOff>
                <xdr:row>5</xdr:row>
                <xdr:rowOff>106680</xdr:rowOff>
              </from>
              <to>
                <xdr:col>2</xdr:col>
                <xdr:colOff>1821180</xdr:colOff>
                <xdr:row>5</xdr:row>
                <xdr:rowOff>419100</xdr:rowOff>
              </to>
            </anchor>
          </controlPr>
        </control>
      </mc:Choice>
      <mc:Fallback>
        <control shapeId="1028" r:id="rId27" name="btnptSummary"/>
      </mc:Fallback>
    </mc:AlternateContent>
    <mc:AlternateContent xmlns:mc="http://schemas.openxmlformats.org/markup-compatibility/2006">
      <mc:Choice Requires="x14">
        <control shapeId="1025" r:id="rId29" name="btnFilter">
          <controlPr autoLine="0" r:id="rId30">
            <anchor moveWithCells="1">
              <from>
                <xdr:col>0</xdr:col>
                <xdr:colOff>30480</xdr:colOff>
                <xdr:row>0</xdr:row>
                <xdr:rowOff>22860</xdr:rowOff>
              </from>
              <to>
                <xdr:col>1</xdr:col>
                <xdr:colOff>1950720</xdr:colOff>
                <xdr:row>0</xdr:row>
                <xdr:rowOff>739140</xdr:rowOff>
              </to>
            </anchor>
          </controlPr>
        </control>
      </mc:Choice>
      <mc:Fallback>
        <control shapeId="1025" r:id="rId29" name="btnFilter"/>
      </mc:Fallback>
    </mc:AlternateContent>
    <mc:AlternateContent xmlns:mc="http://schemas.openxmlformats.org/markup-compatibility/2006">
      <mc:Choice Requires="x14">
        <control shapeId="1057" r:id="rId31" name="btnptReportsALR">
          <controlPr autoLine="0" r:id="rId32">
            <anchor moveWithCells="1">
              <from>
                <xdr:col>2</xdr:col>
                <xdr:colOff>99060</xdr:colOff>
                <xdr:row>19</xdr:row>
                <xdr:rowOff>114300</xdr:rowOff>
              </from>
              <to>
                <xdr:col>2</xdr:col>
                <xdr:colOff>1821180</xdr:colOff>
                <xdr:row>19</xdr:row>
                <xdr:rowOff>426720</xdr:rowOff>
              </to>
            </anchor>
          </controlPr>
        </control>
      </mc:Choice>
      <mc:Fallback>
        <control shapeId="1057" r:id="rId31" name="btnptReportsALR"/>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showRowColHeaders="0" workbookViewId="0"/>
  </sheetViews>
  <sheetFormatPr defaultColWidth="9.109375" defaultRowHeight="13.8" x14ac:dyDescent="0.3"/>
  <cols>
    <col min="1" max="1" width="31.5546875" style="20" customWidth="1"/>
    <col min="2" max="2" width="16" style="20" customWidth="1"/>
    <col min="3" max="3" width="24.33203125" style="20" customWidth="1"/>
    <col min="4" max="4" width="23.88671875" style="20" customWidth="1"/>
    <col min="5" max="5" width="22.6640625" style="20" customWidth="1"/>
    <col min="6" max="11" width="9.109375" style="20"/>
    <col min="12" max="12" width="19.6640625" style="20" customWidth="1"/>
    <col min="13" max="13" width="26.88671875" style="20" customWidth="1"/>
    <col min="14" max="16384" width="9.109375" style="20"/>
  </cols>
  <sheetData>
    <row r="1" spans="1:3" ht="14.4" x14ac:dyDescent="0.3">
      <c r="A1" s="37" t="s">
        <v>91</v>
      </c>
      <c r="B1" s="18" t="s" vm="3">
        <v>127</v>
      </c>
      <c r="C1"/>
    </row>
    <row r="2" spans="1:3" ht="14.4" x14ac:dyDescent="0.3">
      <c r="A2" s="37" t="s">
        <v>92</v>
      </c>
      <c r="B2" s="18" t="s" vm="2">
        <v>111</v>
      </c>
      <c r="C2"/>
    </row>
    <row r="3" spans="1:3" ht="14.4" x14ac:dyDescent="0.3">
      <c r="A3"/>
      <c r="B3"/>
      <c r="C3"/>
    </row>
    <row r="4" spans="1:3" ht="14.4" x14ac:dyDescent="0.3">
      <c r="A4" s="37" t="s">
        <v>7</v>
      </c>
      <c r="B4"/>
      <c r="C4"/>
    </row>
    <row r="5" spans="1:3" ht="14.4" x14ac:dyDescent="0.3">
      <c r="A5" s="41" t="s">
        <v>141</v>
      </c>
      <c r="B5" s="42">
        <v>6424810219</v>
      </c>
      <c r="C5"/>
    </row>
    <row r="6" spans="1:3" ht="14.4" x14ac:dyDescent="0.3">
      <c r="A6" s="41" t="s">
        <v>112</v>
      </c>
      <c r="B6" s="42">
        <v>7228768118</v>
      </c>
      <c r="C6"/>
    </row>
    <row r="7" spans="1:3" ht="14.4" x14ac:dyDescent="0.3">
      <c r="A7" s="41" t="s">
        <v>113</v>
      </c>
      <c r="B7" s="45">
        <v>206</v>
      </c>
      <c r="C7"/>
    </row>
    <row r="8" spans="1:3" ht="14.4" x14ac:dyDescent="0.3">
      <c r="A8" s="41" t="s">
        <v>142</v>
      </c>
      <c r="B8" s="42">
        <v>31188399.121359222</v>
      </c>
      <c r="C8"/>
    </row>
    <row r="9" spans="1:3" ht="14.4" x14ac:dyDescent="0.3">
      <c r="A9" s="41" t="s">
        <v>143</v>
      </c>
      <c r="B9" s="42">
        <v>35091107.368932039</v>
      </c>
      <c r="C9"/>
    </row>
    <row r="10" spans="1:3" ht="14.4" x14ac:dyDescent="0.3">
      <c r="A10" s="41" t="s">
        <v>114</v>
      </c>
      <c r="B10" s="46">
        <v>9.5735690374327664E-2</v>
      </c>
      <c r="C10"/>
    </row>
    <row r="11" spans="1:3" ht="14.4" x14ac:dyDescent="0.3">
      <c r="A11" s="41" t="s">
        <v>115</v>
      </c>
      <c r="B11" s="45">
        <v>41.865200548071314</v>
      </c>
      <c r="C11"/>
    </row>
    <row r="12" spans="1:3" ht="14.4" x14ac:dyDescent="0.3">
      <c r="A12" s="41" t="s">
        <v>116</v>
      </c>
      <c r="B12" s="47">
        <v>23.909735051393834</v>
      </c>
      <c r="C12"/>
    </row>
    <row r="13" spans="1:3" ht="14.4" x14ac:dyDescent="0.3">
      <c r="A13" s="41" t="s">
        <v>117</v>
      </c>
      <c r="B13" s="47">
        <v>17.955468473509576</v>
      </c>
      <c r="C13"/>
    </row>
    <row r="14" spans="1:3" ht="14.4" x14ac:dyDescent="0.3">
      <c r="A14" s="41" t="s">
        <v>118</v>
      </c>
      <c r="B14" s="43">
        <v>0.29050592932575792</v>
      </c>
      <c r="C14"/>
    </row>
    <row r="15" spans="1:3" ht="14.4" x14ac:dyDescent="0.3">
      <c r="A15" s="41" t="s">
        <v>119</v>
      </c>
      <c r="B15" s="43">
        <v>0.92640516470914414</v>
      </c>
      <c r="C15"/>
    </row>
    <row r="16" spans="1:3" ht="14.4" x14ac:dyDescent="0.3">
      <c r="A16" s="41" t="s">
        <v>120</v>
      </c>
      <c r="B16" s="45">
        <v>8</v>
      </c>
      <c r="C16"/>
    </row>
    <row r="17" spans="1:3" ht="14.4" x14ac:dyDescent="0.3">
      <c r="A17" s="41" t="s">
        <v>121</v>
      </c>
      <c r="B17" s="45">
        <v>7</v>
      </c>
      <c r="C17"/>
    </row>
    <row r="18" spans="1:3" ht="14.4" x14ac:dyDescent="0.3">
      <c r="A18"/>
      <c r="B18"/>
      <c r="C18"/>
    </row>
    <row r="19" spans="1:3" ht="14.4" x14ac:dyDescent="0.3">
      <c r="A19"/>
      <c r="B19"/>
      <c r="C19"/>
    </row>
    <row r="20" spans="1:3" ht="14.4" x14ac:dyDescent="0.3">
      <c r="A20"/>
      <c r="B20"/>
      <c r="C20"/>
    </row>
    <row r="21" spans="1:3" ht="14.4" x14ac:dyDescent="0.3">
      <c r="A21"/>
      <c r="B21"/>
      <c r="C21"/>
    </row>
    <row r="22" spans="1:3" ht="14.4" x14ac:dyDescent="0.3">
      <c r="A22"/>
      <c r="B22"/>
      <c r="C22"/>
    </row>
    <row r="23" spans="1:3" ht="14.4" x14ac:dyDescent="0.3">
      <c r="A23"/>
      <c r="B23"/>
      <c r="C23"/>
    </row>
    <row r="24" spans="1:3" ht="14.4" x14ac:dyDescent="0.3">
      <c r="A24"/>
      <c r="B24"/>
      <c r="C24"/>
    </row>
    <row r="25" spans="1:3" ht="14.4" x14ac:dyDescent="0.3">
      <c r="A25"/>
      <c r="B25"/>
      <c r="C25"/>
    </row>
    <row r="26" spans="1:3" ht="14.4" x14ac:dyDescent="0.3">
      <c r="A26"/>
      <c r="B26"/>
      <c r="C26"/>
    </row>
    <row r="27" spans="1:3" ht="14.4" x14ac:dyDescent="0.3">
      <c r="A27"/>
      <c r="B27"/>
      <c r="C27"/>
    </row>
    <row r="28" spans="1:3" ht="14.4" x14ac:dyDescent="0.3">
      <c r="A28"/>
      <c r="B28"/>
      <c r="C28"/>
    </row>
    <row r="29" spans="1:3" ht="14.4" x14ac:dyDescent="0.3">
      <c r="A29"/>
      <c r="B29"/>
      <c r="C29"/>
    </row>
    <row r="30" spans="1:3" ht="14.4" x14ac:dyDescent="0.3">
      <c r="A30"/>
      <c r="B30"/>
      <c r="C30"/>
    </row>
    <row r="31" spans="1:3" ht="14.4" x14ac:dyDescent="0.3">
      <c r="A31"/>
      <c r="B31"/>
      <c r="C31"/>
    </row>
    <row r="32" spans="1:3" ht="14.4" x14ac:dyDescent="0.3">
      <c r="A32"/>
      <c r="B32"/>
      <c r="C32"/>
    </row>
    <row r="33" spans="1:5" ht="14.4" x14ac:dyDescent="0.3">
      <c r="A33"/>
      <c r="B33"/>
      <c r="C33"/>
    </row>
    <row r="34" spans="1:5" ht="14.4" x14ac:dyDescent="0.3">
      <c r="A34"/>
      <c r="B34"/>
      <c r="C34"/>
    </row>
    <row r="35" spans="1:5" ht="14.4" x14ac:dyDescent="0.3">
      <c r="A35"/>
      <c r="B35"/>
      <c r="C35"/>
    </row>
    <row r="38" spans="1:5" x14ac:dyDescent="0.3">
      <c r="A38" s="31"/>
      <c r="B38" s="25"/>
      <c r="C38" s="24"/>
      <c r="D38" s="24"/>
      <c r="E38" s="24"/>
    </row>
    <row r="39" spans="1:5" x14ac:dyDescent="0.3">
      <c r="A39" s="21"/>
      <c r="D39" s="49"/>
    </row>
    <row r="40" spans="1:5" x14ac:dyDescent="0.3">
      <c r="A40" s="21"/>
      <c r="D40" s="49"/>
    </row>
    <row r="41" spans="1:5" x14ac:dyDescent="0.3">
      <c r="A41" s="21"/>
      <c r="D41" s="49"/>
    </row>
    <row r="44" spans="1:5" x14ac:dyDescent="0.3">
      <c r="B44" s="25"/>
      <c r="C44" s="25"/>
    </row>
    <row r="45" spans="1:5" x14ac:dyDescent="0.3">
      <c r="B45" s="25"/>
      <c r="C45" s="23"/>
    </row>
    <row r="46" spans="1:5" x14ac:dyDescent="0.3">
      <c r="B46" s="25"/>
      <c r="C46" s="23"/>
    </row>
    <row r="47" spans="1:5" x14ac:dyDescent="0.3">
      <c r="B47" s="25"/>
      <c r="C47" s="33"/>
    </row>
    <row r="48" spans="1:5" x14ac:dyDescent="0.3">
      <c r="B48" s="25"/>
      <c r="C48" s="33"/>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S93"/>
  <sheetViews>
    <sheetView showGridLines="0" showRowColHeaders="0" zoomScale="80" zoomScaleNormal="80" workbookViewId="0">
      <selection activeCell="A20" sqref="A20"/>
    </sheetView>
  </sheetViews>
  <sheetFormatPr defaultRowHeight="14.4" x14ac:dyDescent="0.3"/>
  <cols>
    <col min="1" max="2" width="16.33203125" customWidth="1"/>
    <col min="3" max="3" width="13.5546875" customWidth="1"/>
    <col min="4" max="4" width="13.5546875" style="19" customWidth="1"/>
    <col min="5" max="5" width="13.5546875" customWidth="1"/>
    <col min="6" max="6" width="9.6640625" customWidth="1"/>
    <col min="7" max="8" width="16.33203125" customWidth="1"/>
    <col min="9" max="9" width="13.5546875" customWidth="1"/>
    <col min="10" max="11" width="13.5546875" style="19" customWidth="1"/>
    <col min="13" max="13" width="20.6640625" customWidth="1"/>
    <col min="14" max="14" width="16.33203125" customWidth="1"/>
    <col min="15" max="17" width="13.5546875" customWidth="1"/>
    <col min="18" max="18" width="12.109375" style="19" customWidth="1"/>
    <col min="19" max="19" width="26.109375" customWidth="1"/>
    <col min="20" max="20" width="16.33203125" customWidth="1"/>
    <col min="21" max="23" width="13.5546875" customWidth="1"/>
    <col min="24" max="24" width="10.6640625" customWidth="1"/>
    <col min="25" max="25" width="24.109375" style="19" customWidth="1"/>
    <col min="26" max="26" width="16.33203125" customWidth="1"/>
    <col min="27" max="29" width="13.5546875" customWidth="1"/>
    <col min="30" max="30" width="15.88671875" bestFit="1" customWidth="1"/>
    <col min="31" max="31" width="16.33203125" customWidth="1"/>
    <col min="32" max="32" width="16.33203125" style="19" customWidth="1"/>
    <col min="33" max="35" width="13.5546875" customWidth="1"/>
    <col min="36" max="36" width="13.44140625" customWidth="1"/>
    <col min="37" max="38" width="16.33203125" customWidth="1"/>
    <col min="39" max="39" width="13.5546875" style="19" customWidth="1"/>
    <col min="40" max="41" width="13.5546875" customWidth="1"/>
    <col min="43" max="43" width="32.44140625" customWidth="1"/>
    <col min="44" max="44" width="16.33203125" customWidth="1"/>
    <col min="45" max="45" width="13.5546875" customWidth="1"/>
    <col min="46" max="46" width="13.5546875" style="19" customWidth="1"/>
    <col min="47" max="47" width="13.5546875" customWidth="1"/>
    <col min="48" max="48" width="9.6640625" customWidth="1"/>
    <col min="49" max="49" width="29.109375" customWidth="1"/>
    <col min="50" max="50" width="16.33203125" customWidth="1"/>
    <col min="51" max="52" width="13.5546875" customWidth="1"/>
    <col min="53" max="53" width="13.5546875" style="19" customWidth="1"/>
    <col min="54" max="54" width="37.109375" customWidth="1"/>
    <col min="55" max="55" width="38.109375" customWidth="1"/>
    <col min="57" max="57" width="35.88671875" customWidth="1"/>
    <col min="58" max="58" width="17.109375" customWidth="1"/>
    <col min="59" max="59" width="24.5546875" customWidth="1"/>
    <col min="60" max="60" width="31.88671875" style="19" customWidth="1"/>
    <col min="61" max="61" width="32.33203125" customWidth="1"/>
    <col min="62" max="62" width="30.33203125" customWidth="1"/>
    <col min="64" max="64" width="46.44140625" customWidth="1"/>
    <col min="65" max="65" width="29.44140625" customWidth="1"/>
    <col min="66" max="66" width="26.109375" customWidth="1"/>
    <col min="67" max="67" width="33.88671875" style="19" customWidth="1"/>
    <col min="68" max="68" width="50" customWidth="1"/>
    <col min="69" max="69" width="42.88671875" customWidth="1"/>
    <col min="71" max="71" width="40.44140625" customWidth="1"/>
    <col min="72" max="72" width="23.88671875" customWidth="1"/>
    <col min="73" max="73" width="27.6640625" customWidth="1"/>
    <col min="74" max="74" width="31.109375" style="19" customWidth="1"/>
    <col min="75" max="75" width="33.44140625" customWidth="1"/>
    <col min="76" max="76" width="32.33203125" customWidth="1"/>
    <col min="78" max="78" width="32.88671875" customWidth="1"/>
    <col min="79" max="79" width="20.6640625" customWidth="1"/>
    <col min="80" max="80" width="39.5546875" customWidth="1"/>
    <col min="81" max="81" width="39.88671875" style="19" customWidth="1"/>
    <col min="82" max="82" width="41.109375" customWidth="1"/>
    <col min="83" max="83" width="42.44140625" customWidth="1"/>
    <col min="84" max="84" width="16.33203125" bestFit="1" customWidth="1"/>
    <col min="85" max="85" width="17.5546875" customWidth="1"/>
    <col min="86" max="86" width="14" customWidth="1"/>
    <col min="87" max="87" width="14" bestFit="1" customWidth="1"/>
    <col min="88" max="88" width="14" style="19" bestFit="1" customWidth="1"/>
    <col min="89" max="89" width="39.44140625" customWidth="1"/>
    <col min="90" max="90" width="41.6640625" customWidth="1"/>
    <col min="92" max="92" width="54.6640625" customWidth="1"/>
    <col min="93" max="93" width="40.44140625" customWidth="1"/>
    <col min="94" max="94" width="26.109375" customWidth="1"/>
    <col min="95" max="95" width="36.33203125" style="19" customWidth="1"/>
    <col min="96" max="96" width="36.109375" customWidth="1"/>
    <col min="97" max="97" width="40.33203125" customWidth="1"/>
  </cols>
  <sheetData>
    <row r="1" spans="1:97" x14ac:dyDescent="0.3">
      <c r="C1" s="11"/>
      <c r="D1" s="12"/>
      <c r="E1" s="11"/>
      <c r="F1" s="11"/>
      <c r="I1" s="11"/>
      <c r="J1" s="12"/>
      <c r="K1" s="11"/>
      <c r="L1" s="11"/>
      <c r="O1" s="11"/>
      <c r="P1" s="12"/>
      <c r="Q1" s="11"/>
      <c r="R1" s="12"/>
      <c r="U1" s="11"/>
      <c r="V1" s="12"/>
      <c r="W1" s="11"/>
      <c r="AA1" s="11"/>
      <c r="AB1" s="12"/>
      <c r="AC1" s="11"/>
      <c r="AD1" s="10"/>
      <c r="AG1" s="11"/>
      <c r="AH1" s="12"/>
      <c r="AI1" s="11"/>
      <c r="AJ1" s="13"/>
      <c r="AM1" s="11"/>
      <c r="AN1" s="12"/>
      <c r="AO1" s="11"/>
      <c r="AS1" s="11"/>
      <c r="AT1" s="12"/>
      <c r="AU1" s="11"/>
      <c r="AV1" s="11"/>
      <c r="AY1" s="11"/>
      <c r="AZ1" s="12"/>
      <c r="BA1" s="11"/>
      <c r="BB1" s="11"/>
      <c r="BC1" s="11"/>
      <c r="BE1" s="13"/>
      <c r="BF1" s="10"/>
      <c r="BG1" s="11"/>
      <c r="BH1" s="12"/>
      <c r="BI1" s="11"/>
      <c r="BJ1" s="11"/>
      <c r="BL1" s="7"/>
      <c r="BM1" s="6"/>
      <c r="BN1" s="6"/>
      <c r="BO1" s="22"/>
      <c r="BP1" s="6"/>
      <c r="BQ1" s="6"/>
      <c r="BS1" s="9"/>
      <c r="BT1" s="10"/>
      <c r="BU1" s="11"/>
      <c r="BV1" s="12"/>
      <c r="BW1" s="11"/>
      <c r="BX1" s="11"/>
      <c r="BZ1" s="13"/>
      <c r="CA1" s="5"/>
      <c r="CB1" s="1"/>
      <c r="CC1" s="4"/>
      <c r="CD1" s="1"/>
      <c r="CE1" s="1"/>
      <c r="CH1" s="10"/>
      <c r="CI1" s="11"/>
      <c r="CJ1" s="12"/>
      <c r="CK1" s="11"/>
      <c r="CL1" s="11"/>
      <c r="CN1" s="3"/>
      <c r="CO1" s="10"/>
      <c r="CP1" s="11"/>
      <c r="CQ1" s="12"/>
      <c r="CR1" s="11"/>
      <c r="CS1" s="11"/>
    </row>
    <row r="2" spans="1:97" s="2" customFormat="1" x14ac:dyDescent="0.3">
      <c r="A2" s="21"/>
      <c r="B2" s="20"/>
      <c r="C2" s="11"/>
      <c r="D2" s="12"/>
      <c r="E2" s="11"/>
      <c r="F2" s="11"/>
      <c r="G2" s="21"/>
      <c r="H2" s="20"/>
      <c r="I2" s="11"/>
      <c r="J2" s="12"/>
      <c r="K2" s="11"/>
      <c r="L2" s="11"/>
      <c r="M2" s="21"/>
      <c r="N2" s="20"/>
      <c r="O2" s="11"/>
      <c r="P2" s="12"/>
      <c r="Q2" s="11"/>
      <c r="R2" s="12"/>
      <c r="S2" s="21"/>
      <c r="T2" s="20"/>
      <c r="U2" s="11"/>
      <c r="V2" s="12"/>
      <c r="W2" s="11"/>
      <c r="Y2" s="21"/>
      <c r="Z2" s="20"/>
      <c r="AA2" s="11"/>
      <c r="AB2" s="12"/>
      <c r="AC2" s="11"/>
      <c r="AD2" s="20"/>
      <c r="AE2" s="21"/>
      <c r="AF2" s="20"/>
      <c r="AG2" s="11"/>
      <c r="AH2" s="12"/>
      <c r="AI2" s="11"/>
      <c r="AJ2" s="21"/>
      <c r="AK2" s="21"/>
      <c r="AL2" s="20"/>
      <c r="AM2" s="11"/>
      <c r="AN2" s="12"/>
      <c r="AO2" s="11"/>
      <c r="AQ2" s="21"/>
      <c r="AR2" s="20"/>
      <c r="AS2" s="11"/>
      <c r="AT2" s="12"/>
      <c r="AU2" s="11"/>
      <c r="AV2" s="11"/>
      <c r="AW2" s="21"/>
      <c r="AX2" s="20"/>
      <c r="AY2" s="11"/>
      <c r="AZ2" s="12"/>
      <c r="BA2" s="11"/>
      <c r="BB2" s="11"/>
      <c r="BC2" s="11"/>
      <c r="BE2" s="21"/>
      <c r="BF2" s="20"/>
      <c r="BG2" s="11"/>
      <c r="BH2" s="12"/>
      <c r="BI2" s="11"/>
      <c r="BJ2" s="11"/>
      <c r="BL2" s="21"/>
      <c r="BM2" s="20"/>
      <c r="BN2" s="6"/>
      <c r="BO2" s="22"/>
      <c r="BP2" s="6"/>
      <c r="BQ2" s="6"/>
      <c r="BS2" s="21"/>
      <c r="BT2" s="20"/>
      <c r="BU2" s="11"/>
      <c r="BV2" s="12"/>
      <c r="BW2" s="11"/>
      <c r="BX2" s="11"/>
      <c r="BZ2" s="21"/>
      <c r="CA2" s="20"/>
      <c r="CB2" s="1"/>
      <c r="CC2" s="4"/>
      <c r="CD2" s="1"/>
      <c r="CE2" s="1"/>
      <c r="CF2"/>
      <c r="CG2"/>
      <c r="CH2"/>
      <c r="CI2" s="11"/>
      <c r="CJ2" s="12"/>
      <c r="CK2" s="11"/>
      <c r="CL2" s="11"/>
      <c r="CN2" s="21"/>
      <c r="CO2" s="20"/>
      <c r="CP2" s="11"/>
      <c r="CQ2" s="12"/>
      <c r="CR2" s="11"/>
      <c r="CS2" s="11"/>
    </row>
    <row r="3" spans="1:97" x14ac:dyDescent="0.3">
      <c r="AD3" s="23"/>
      <c r="AJ3" s="21"/>
      <c r="BB3" s="6"/>
      <c r="BC3" s="6"/>
      <c r="BE3" s="21"/>
      <c r="BF3" s="23"/>
      <c r="BL3" s="21"/>
      <c r="BM3" s="23"/>
      <c r="BN3" s="6"/>
      <c r="BO3" s="22"/>
      <c r="BP3" s="6"/>
      <c r="BQ3" s="6"/>
      <c r="BS3" s="21"/>
      <c r="BT3" s="23"/>
      <c r="BU3" s="6"/>
      <c r="BV3" s="22"/>
      <c r="BW3" s="6"/>
      <c r="BX3" s="6"/>
      <c r="BZ3" s="21"/>
      <c r="CA3" s="23"/>
      <c r="CB3" s="2"/>
      <c r="CD3" s="2"/>
      <c r="CE3" s="2"/>
      <c r="CK3" s="11"/>
      <c r="CL3" s="11"/>
      <c r="CN3" s="21"/>
      <c r="CO3" s="23"/>
      <c r="CP3" s="11"/>
      <c r="CQ3" s="12"/>
      <c r="CR3" s="11"/>
      <c r="CS3" s="11"/>
    </row>
    <row r="4" spans="1:97" x14ac:dyDescent="0.3">
      <c r="AD4" s="23"/>
      <c r="AJ4" s="21"/>
      <c r="BB4" s="6"/>
      <c r="BC4" s="6"/>
      <c r="BE4" s="21"/>
      <c r="BF4" s="23"/>
      <c r="BL4" s="21"/>
      <c r="BM4" s="23"/>
      <c r="BN4" s="6"/>
      <c r="BO4" s="22"/>
      <c r="BP4" s="6"/>
      <c r="BQ4" s="6"/>
      <c r="BS4" s="21"/>
      <c r="BT4" s="23"/>
      <c r="BU4" s="6"/>
      <c r="BV4" s="22"/>
      <c r="BW4" s="6"/>
      <c r="BX4" s="6"/>
      <c r="BZ4" s="21"/>
      <c r="CA4" s="23"/>
      <c r="CK4" s="6"/>
      <c r="CL4" s="6"/>
      <c r="CN4" s="21"/>
      <c r="CO4" s="23"/>
      <c r="CP4" s="6"/>
      <c r="CQ4" s="22"/>
      <c r="CR4" s="6"/>
      <c r="CS4" s="6"/>
    </row>
    <row r="5" spans="1:97" x14ac:dyDescent="0.3">
      <c r="AD5" s="20"/>
      <c r="AJ5" s="21"/>
      <c r="BB5" s="6"/>
      <c r="BC5" s="6"/>
      <c r="BE5" s="21"/>
      <c r="BF5" s="20"/>
      <c r="BL5" s="21"/>
      <c r="BM5" s="20"/>
      <c r="BN5" s="6"/>
      <c r="BO5" s="22"/>
      <c r="BP5" s="6"/>
      <c r="BQ5" s="6"/>
      <c r="BS5" s="21"/>
      <c r="BT5" s="20"/>
      <c r="BZ5" s="21"/>
      <c r="CA5" s="20"/>
      <c r="CK5" s="6"/>
      <c r="CL5" s="6"/>
      <c r="CN5" s="21"/>
      <c r="CO5" s="20"/>
      <c r="CP5" s="6"/>
      <c r="CQ5" s="22"/>
      <c r="CR5" s="6"/>
      <c r="CS5" s="6"/>
    </row>
    <row r="6" spans="1:97" x14ac:dyDescent="0.3">
      <c r="BB6" s="6"/>
      <c r="BC6" s="6"/>
      <c r="BL6" s="6"/>
      <c r="BM6" s="8"/>
      <c r="BN6" s="6"/>
      <c r="BO6" s="22"/>
      <c r="BP6" s="6"/>
      <c r="BQ6" s="6"/>
      <c r="CK6" s="6"/>
      <c r="CL6" s="6"/>
      <c r="CN6" s="21"/>
      <c r="CO6" s="20"/>
    </row>
    <row r="7" spans="1:97" x14ac:dyDescent="0.3">
      <c r="F7" s="28"/>
      <c r="L7" s="28"/>
      <c r="R7" s="28"/>
      <c r="AD7" s="29"/>
      <c r="AJ7" s="20"/>
      <c r="AV7" s="28"/>
      <c r="BB7" s="28"/>
      <c r="BC7" s="28"/>
      <c r="BE7" s="20"/>
      <c r="BF7" s="29"/>
      <c r="BG7" s="28"/>
      <c r="BH7" s="28"/>
      <c r="BI7" s="28"/>
      <c r="BJ7" s="28"/>
      <c r="BL7" s="20"/>
      <c r="BM7" s="29"/>
      <c r="BN7" s="28"/>
      <c r="BO7" s="28"/>
      <c r="BP7" s="28"/>
      <c r="BQ7" s="28"/>
      <c r="BS7" s="20"/>
      <c r="BT7" s="29"/>
      <c r="BU7" s="28"/>
      <c r="BV7" s="28"/>
      <c r="BW7" s="28"/>
      <c r="BX7" s="28"/>
      <c r="BZ7" s="20"/>
      <c r="CA7" s="29"/>
      <c r="CB7" s="28"/>
      <c r="CC7" s="28"/>
      <c r="CD7" s="28"/>
      <c r="CE7" s="28"/>
      <c r="CK7" s="6"/>
      <c r="CL7" s="6"/>
    </row>
    <row r="8" spans="1:97" x14ac:dyDescent="0.3">
      <c r="F8" s="25"/>
      <c r="L8" s="25"/>
      <c r="R8" s="28"/>
      <c r="X8" s="28"/>
      <c r="AD8" s="29"/>
      <c r="AJ8" s="20"/>
      <c r="AV8" s="25"/>
      <c r="BB8" s="25"/>
      <c r="BC8" s="25"/>
      <c r="BE8" s="20"/>
      <c r="BF8" s="29"/>
      <c r="BG8" s="25"/>
      <c r="BH8" s="28"/>
      <c r="BI8" s="20"/>
      <c r="BJ8" s="20"/>
      <c r="BL8" s="20"/>
      <c r="BM8" s="29"/>
      <c r="BN8" s="25"/>
      <c r="BO8" s="28"/>
      <c r="BP8" s="25"/>
      <c r="BQ8" s="25"/>
      <c r="BS8" s="20"/>
      <c r="BT8" s="29"/>
      <c r="BU8" s="25"/>
      <c r="BV8" s="28"/>
      <c r="BW8" s="25"/>
      <c r="BX8" s="25"/>
      <c r="BZ8" s="20"/>
      <c r="CA8" s="29"/>
      <c r="CB8" s="25"/>
      <c r="CC8" s="28"/>
      <c r="CD8" s="25"/>
      <c r="CE8" s="25"/>
      <c r="CK8" s="28"/>
      <c r="CL8" s="28"/>
      <c r="CN8" s="20"/>
      <c r="CO8" s="29"/>
      <c r="CP8" s="28"/>
      <c r="CQ8" s="28"/>
      <c r="CR8" s="28"/>
      <c r="CS8" s="28"/>
    </row>
    <row r="9" spans="1:97" x14ac:dyDescent="0.3">
      <c r="F9" s="26"/>
      <c r="L9" s="26"/>
      <c r="R9" s="22"/>
      <c r="X9" s="25"/>
      <c r="AD9" s="32"/>
      <c r="AJ9" s="25"/>
      <c r="AV9" s="26"/>
      <c r="BB9" s="26"/>
      <c r="BC9" s="26"/>
      <c r="BE9" s="34"/>
      <c r="BF9" s="32"/>
      <c r="BG9" s="28"/>
      <c r="BH9" s="22"/>
      <c r="BI9" s="26"/>
      <c r="BJ9" s="26"/>
      <c r="BL9" s="25"/>
      <c r="BM9" s="32"/>
      <c r="BN9" s="28"/>
      <c r="BO9" s="27"/>
      <c r="BP9" s="26"/>
      <c r="BQ9" s="26"/>
      <c r="BS9" s="25"/>
      <c r="BT9" s="32"/>
      <c r="BU9" s="28"/>
      <c r="BV9" s="22"/>
      <c r="BW9" s="26"/>
      <c r="BX9" s="26"/>
      <c r="BZ9" s="25"/>
      <c r="CA9" s="32"/>
      <c r="CB9" s="28"/>
      <c r="CC9" s="22"/>
      <c r="CD9" s="26"/>
      <c r="CE9" s="26"/>
      <c r="CK9" s="25"/>
      <c r="CL9" s="25"/>
      <c r="CN9" s="20"/>
      <c r="CO9" s="29"/>
      <c r="CP9" s="25"/>
      <c r="CQ9" s="28"/>
      <c r="CR9" s="25"/>
      <c r="CS9" s="25"/>
    </row>
    <row r="10" spans="1:97" x14ac:dyDescent="0.3">
      <c r="F10" s="26"/>
      <c r="L10" s="26"/>
      <c r="R10" s="22"/>
      <c r="X10" s="28"/>
      <c r="AD10" s="32"/>
      <c r="AF10"/>
      <c r="AJ10" s="25"/>
      <c r="AV10" s="26"/>
      <c r="BB10" s="26"/>
      <c r="BC10" s="26"/>
      <c r="BE10" s="34"/>
      <c r="BF10" s="32"/>
      <c r="BG10" s="28"/>
      <c r="BH10" s="22"/>
      <c r="BI10" s="26"/>
      <c r="BJ10" s="26"/>
      <c r="BL10" s="30"/>
      <c r="BM10" s="32"/>
      <c r="BN10" s="28"/>
      <c r="BO10" s="27"/>
      <c r="BP10" s="26"/>
      <c r="BQ10" s="26"/>
      <c r="BS10" s="25"/>
      <c r="BT10" s="32"/>
      <c r="BU10" s="28"/>
      <c r="BV10" s="22"/>
      <c r="BW10" s="26"/>
      <c r="BX10" s="26"/>
      <c r="BZ10" s="25"/>
      <c r="CA10" s="32"/>
      <c r="CB10" s="28"/>
      <c r="CC10" s="22"/>
      <c r="CD10" s="26"/>
      <c r="CE10" s="26"/>
      <c r="CK10" s="26"/>
      <c r="CL10" s="26"/>
      <c r="CN10" s="25"/>
      <c r="CO10" s="32"/>
      <c r="CP10" s="28"/>
      <c r="CQ10" s="22"/>
      <c r="CR10" s="26"/>
      <c r="CS10" s="26"/>
    </row>
    <row r="11" spans="1:97" x14ac:dyDescent="0.3">
      <c r="F11" s="26"/>
      <c r="L11" s="26"/>
      <c r="R11" s="22"/>
      <c r="X11" s="28"/>
      <c r="AD11" s="32"/>
      <c r="AF11"/>
      <c r="AJ11" s="25"/>
      <c r="AV11" s="26"/>
      <c r="BB11" s="26"/>
      <c r="BC11" s="26"/>
      <c r="BE11" s="34"/>
      <c r="BF11" s="32"/>
      <c r="BG11" s="28"/>
      <c r="BH11" s="22"/>
      <c r="BI11" s="26"/>
      <c r="BJ11" s="26"/>
      <c r="BL11" s="30"/>
      <c r="BM11" s="32"/>
      <c r="BN11" s="28"/>
      <c r="BO11" s="27"/>
      <c r="BP11" s="26"/>
      <c r="BQ11" s="26"/>
      <c r="BS11" s="25"/>
      <c r="BT11" s="32"/>
      <c r="BU11" s="28"/>
      <c r="BV11" s="22"/>
      <c r="BW11" s="26"/>
      <c r="BX11" s="26"/>
      <c r="BZ11" s="25"/>
      <c r="CA11" s="32"/>
      <c r="CB11" s="28"/>
      <c r="CC11" s="22"/>
      <c r="CD11" s="26"/>
      <c r="CE11" s="26"/>
      <c r="CK11" s="26"/>
      <c r="CL11" s="26"/>
      <c r="CN11" s="25"/>
      <c r="CO11" s="32"/>
      <c r="CP11" s="28"/>
      <c r="CQ11" s="22"/>
      <c r="CR11" s="26"/>
      <c r="CS11" s="26"/>
    </row>
    <row r="12" spans="1:97" x14ac:dyDescent="0.3">
      <c r="F12" s="26"/>
      <c r="L12" s="26"/>
      <c r="R12" s="22"/>
      <c r="X12" s="28"/>
      <c r="AD12" s="32"/>
      <c r="AF12"/>
      <c r="AJ12" s="25"/>
      <c r="BE12" s="34"/>
      <c r="BF12" s="32"/>
      <c r="BG12" s="28"/>
      <c r="BH12" s="22"/>
      <c r="BI12" s="26"/>
      <c r="BJ12" s="26"/>
      <c r="BL12" s="30"/>
      <c r="BM12" s="32"/>
      <c r="BN12" s="28"/>
      <c r="BO12" s="27"/>
      <c r="BP12" s="26"/>
      <c r="BQ12" s="26"/>
      <c r="BS12" s="25"/>
      <c r="BT12" s="32"/>
      <c r="BU12" s="28"/>
      <c r="BV12" s="22"/>
      <c r="BW12" s="26"/>
      <c r="BX12" s="26"/>
      <c r="BZ12" s="25"/>
      <c r="CA12" s="32"/>
      <c r="CB12" s="28"/>
      <c r="CC12" s="22"/>
      <c r="CD12" s="26"/>
      <c r="CE12" s="26"/>
      <c r="CK12" s="26"/>
      <c r="CL12" s="26"/>
      <c r="CN12" s="25"/>
      <c r="CO12" s="32"/>
      <c r="CP12" s="28"/>
      <c r="CQ12" s="22"/>
      <c r="CR12" s="26"/>
      <c r="CS12" s="26"/>
    </row>
    <row r="13" spans="1:97" x14ac:dyDescent="0.3">
      <c r="F13" s="26"/>
      <c r="L13" s="26"/>
      <c r="R13" s="22"/>
      <c r="X13" s="28"/>
      <c r="AD13" s="32"/>
      <c r="AF13"/>
      <c r="AJ13" s="25"/>
      <c r="BE13" s="34"/>
      <c r="BF13" s="32"/>
      <c r="BG13" s="28"/>
      <c r="BH13" s="22"/>
      <c r="BI13" s="26"/>
      <c r="BJ13" s="26"/>
      <c r="BL13" s="30"/>
      <c r="BM13" s="32"/>
      <c r="BN13" s="28"/>
      <c r="BO13" s="27"/>
      <c r="BP13" s="26"/>
      <c r="BQ13" s="26"/>
      <c r="BS13" s="25"/>
      <c r="BT13" s="32"/>
      <c r="BU13" s="28"/>
      <c r="BV13" s="22"/>
      <c r="BW13" s="26"/>
      <c r="BX13" s="26"/>
      <c r="BZ13" s="25"/>
      <c r="CA13" s="32"/>
      <c r="CB13" s="28"/>
      <c r="CC13" s="22"/>
      <c r="CD13" s="26"/>
      <c r="CE13" s="26"/>
      <c r="CK13" s="26"/>
      <c r="CL13" s="26"/>
      <c r="CN13" s="25"/>
      <c r="CO13" s="32"/>
      <c r="CP13" s="28"/>
      <c r="CQ13" s="22"/>
      <c r="CR13" s="26"/>
      <c r="CS13" s="26"/>
    </row>
    <row r="14" spans="1:97" x14ac:dyDescent="0.3">
      <c r="F14" s="26"/>
      <c r="L14" s="26"/>
      <c r="R14" s="22"/>
      <c r="X14" s="28"/>
      <c r="AD14" s="32"/>
      <c r="AF14"/>
      <c r="AJ14" s="25"/>
      <c r="AK14" s="32"/>
      <c r="AL14" s="28"/>
      <c r="AM14" s="22"/>
      <c r="AN14" s="26"/>
      <c r="AO14" s="26"/>
      <c r="BB14" s="6"/>
      <c r="BC14" s="6"/>
      <c r="BE14" s="34"/>
      <c r="BF14" s="32"/>
      <c r="BG14" s="28"/>
      <c r="BH14" s="22"/>
      <c r="BI14" s="26"/>
      <c r="BJ14" s="26"/>
      <c r="BL14" s="30"/>
      <c r="BM14" s="32"/>
      <c r="BN14" s="28"/>
      <c r="BO14" s="27"/>
      <c r="BP14" s="26"/>
      <c r="BQ14" s="26"/>
      <c r="BS14" s="25"/>
      <c r="BT14" s="32"/>
      <c r="BU14" s="28"/>
      <c r="BV14" s="22"/>
      <c r="BW14" s="26"/>
      <c r="BX14" s="26"/>
      <c r="BZ14" s="25"/>
      <c r="CA14" s="32"/>
      <c r="CB14" s="28"/>
      <c r="CC14" s="22"/>
      <c r="CD14" s="26"/>
      <c r="CE14" s="26"/>
      <c r="CK14" s="26"/>
      <c r="CL14" s="26"/>
      <c r="CN14" s="25"/>
      <c r="CO14" s="32"/>
      <c r="CP14" s="28"/>
      <c r="CQ14" s="22"/>
      <c r="CR14" s="26"/>
      <c r="CS14" s="26"/>
    </row>
    <row r="15" spans="1:97" x14ac:dyDescent="0.3">
      <c r="F15" s="26"/>
      <c r="L15" s="26"/>
      <c r="R15" s="22"/>
      <c r="X15" s="28"/>
      <c r="AD15" s="32"/>
      <c r="AF15"/>
      <c r="AJ15" s="25"/>
      <c r="AK15" s="32"/>
      <c r="AL15" s="28"/>
      <c r="AM15" s="22"/>
      <c r="AN15" s="26"/>
      <c r="AO15" s="26"/>
      <c r="BB15" s="11"/>
      <c r="BC15" s="11"/>
      <c r="BE15" s="34"/>
      <c r="BF15" s="32"/>
      <c r="BG15" s="28"/>
      <c r="BH15" s="22"/>
      <c r="BI15" s="26"/>
      <c r="BJ15" s="26"/>
      <c r="BL15" s="30"/>
      <c r="BM15" s="32"/>
      <c r="BN15" s="28"/>
      <c r="BO15" s="27"/>
      <c r="BP15" s="26"/>
      <c r="BQ15" s="26"/>
      <c r="BS15" s="25"/>
      <c r="BT15" s="32"/>
      <c r="BU15" s="28"/>
      <c r="BV15" s="22"/>
      <c r="BW15" s="26"/>
      <c r="BX15" s="26"/>
      <c r="BZ15" s="25"/>
      <c r="CA15" s="32"/>
      <c r="CB15" s="28"/>
      <c r="CC15" s="22"/>
      <c r="CD15" s="26"/>
      <c r="CE15" s="26"/>
      <c r="CK15" s="26"/>
      <c r="CL15" s="26"/>
      <c r="CN15" s="25"/>
      <c r="CO15" s="32"/>
      <c r="CP15" s="28"/>
      <c r="CQ15" s="22"/>
      <c r="CR15" s="26"/>
      <c r="CS15" s="26"/>
    </row>
    <row r="16" spans="1:97" x14ac:dyDescent="0.3">
      <c r="F16" s="26"/>
      <c r="L16" s="26"/>
      <c r="R16" s="22"/>
      <c r="X16" s="28"/>
      <c r="AD16" s="32"/>
      <c r="AF16"/>
      <c r="AJ16" s="25"/>
      <c r="AM16" s="22"/>
      <c r="AN16" s="26"/>
      <c r="AO16" s="26"/>
      <c r="BB16" s="11"/>
      <c r="BC16" s="11"/>
      <c r="BE16" s="34"/>
      <c r="BF16" s="32"/>
      <c r="BG16" s="28"/>
      <c r="BH16" s="22"/>
      <c r="BI16" s="26"/>
      <c r="BJ16" s="26"/>
      <c r="BL16" s="30"/>
      <c r="BM16" s="32"/>
      <c r="BN16" s="28"/>
      <c r="BO16" s="27"/>
      <c r="BP16" s="26"/>
      <c r="BQ16" s="26"/>
      <c r="BS16" s="25"/>
      <c r="BT16" s="32"/>
      <c r="BU16" s="28"/>
      <c r="BV16" s="22"/>
      <c r="BW16" s="26"/>
      <c r="BX16" s="26"/>
      <c r="BZ16" s="25"/>
      <c r="CA16" s="32"/>
      <c r="CB16" s="28"/>
      <c r="CC16" s="22"/>
      <c r="CD16" s="26"/>
      <c r="CE16" s="26"/>
      <c r="CK16" s="26"/>
      <c r="CL16" s="26"/>
      <c r="CN16" s="25"/>
      <c r="CO16" s="32"/>
      <c r="CP16" s="28"/>
      <c r="CQ16" s="22"/>
      <c r="CR16" s="26"/>
      <c r="CS16" s="26"/>
    </row>
    <row r="17" spans="1:97" x14ac:dyDescent="0.3">
      <c r="A17" s="37" t="s">
        <v>91</v>
      </c>
      <c r="B17" s="18" t="s" vm="3">
        <v>127</v>
      </c>
      <c r="F17" s="26"/>
      <c r="G17" s="37" t="s">
        <v>91</v>
      </c>
      <c r="H17" s="18" t="s" vm="3">
        <v>127</v>
      </c>
      <c r="L17" s="26"/>
      <c r="M17" s="37" t="s">
        <v>91</v>
      </c>
      <c r="N17" s="18" t="s" vm="3">
        <v>127</v>
      </c>
      <c r="R17" s="22"/>
      <c r="S17" s="37" t="s">
        <v>91</v>
      </c>
      <c r="T17" s="18" t="s" vm="3">
        <v>127</v>
      </c>
      <c r="X17" s="28"/>
      <c r="Y17" s="37" t="s">
        <v>91</v>
      </c>
      <c r="Z17" s="18" t="s" vm="3">
        <v>127</v>
      </c>
      <c r="AD17" s="32"/>
      <c r="AE17" s="37" t="s">
        <v>91</v>
      </c>
      <c r="AF17" s="18" t="s" vm="3">
        <v>127</v>
      </c>
      <c r="AJ17" s="25"/>
      <c r="AK17" s="37" t="s">
        <v>91</v>
      </c>
      <c r="AL17" s="18" t="s" vm="3">
        <v>127</v>
      </c>
      <c r="AM17" s="22"/>
      <c r="AN17" s="26"/>
      <c r="AO17" s="26"/>
      <c r="AQ17" s="37" t="s">
        <v>91</v>
      </c>
      <c r="AR17" s="18" t="s" vm="3">
        <v>127</v>
      </c>
      <c r="AW17" s="37" t="s">
        <v>91</v>
      </c>
      <c r="AX17" s="18" t="s" vm="3">
        <v>127</v>
      </c>
      <c r="BB17" s="6"/>
      <c r="BC17" s="6"/>
      <c r="BE17" s="34"/>
      <c r="BF17" s="32"/>
      <c r="BG17" s="28"/>
      <c r="BH17" s="22"/>
      <c r="BI17" s="26"/>
      <c r="BJ17" s="26"/>
      <c r="BL17" s="30"/>
      <c r="BM17" s="32"/>
      <c r="BN17" s="28"/>
      <c r="BO17" s="27"/>
      <c r="BP17" s="26"/>
      <c r="BQ17" s="26"/>
      <c r="BS17" s="25"/>
      <c r="BT17" s="32"/>
      <c r="BU17" s="28"/>
      <c r="BV17" s="22"/>
      <c r="BW17" s="26"/>
      <c r="BX17" s="26"/>
      <c r="BZ17" s="25"/>
      <c r="CA17" s="32"/>
      <c r="CB17" s="28"/>
      <c r="CC17" s="22"/>
      <c r="CD17" s="26"/>
      <c r="CE17" s="26"/>
      <c r="CN17" s="25"/>
      <c r="CO17" s="32"/>
      <c r="CP17" s="28"/>
      <c r="CQ17" s="22"/>
      <c r="CR17" s="26"/>
      <c r="CS17" s="26"/>
    </row>
    <row r="18" spans="1:97" x14ac:dyDescent="0.3">
      <c r="A18" s="37" t="s">
        <v>92</v>
      </c>
      <c r="B18" s="18" t="s" vm="2">
        <v>111</v>
      </c>
      <c r="F18" s="26"/>
      <c r="G18" s="37" t="s">
        <v>92</v>
      </c>
      <c r="H18" s="18" t="s" vm="2">
        <v>111</v>
      </c>
      <c r="L18" s="26"/>
      <c r="M18" s="37" t="s">
        <v>92</v>
      </c>
      <c r="N18" s="18" t="s" vm="2">
        <v>111</v>
      </c>
      <c r="R18" s="22"/>
      <c r="S18" s="37" t="s">
        <v>92</v>
      </c>
      <c r="T18" s="18" t="s" vm="2">
        <v>111</v>
      </c>
      <c r="X18" s="28"/>
      <c r="Y18" s="37" t="s">
        <v>92</v>
      </c>
      <c r="Z18" s="18" t="s" vm="2">
        <v>111</v>
      </c>
      <c r="AD18" s="32"/>
      <c r="AE18" s="37" t="s">
        <v>92</v>
      </c>
      <c r="AF18" s="18" t="s" vm="2">
        <v>111</v>
      </c>
      <c r="AJ18" s="25"/>
      <c r="AK18" s="37" t="s">
        <v>92</v>
      </c>
      <c r="AL18" s="18" t="s" vm="2">
        <v>111</v>
      </c>
      <c r="AM18" s="22"/>
      <c r="AN18" s="26"/>
      <c r="AO18" s="26"/>
      <c r="AQ18" s="37" t="s">
        <v>92</v>
      </c>
      <c r="AR18" s="18" t="s" vm="2">
        <v>111</v>
      </c>
      <c r="AW18" s="37" t="s">
        <v>92</v>
      </c>
      <c r="AX18" s="18" t="s" vm="2">
        <v>111</v>
      </c>
      <c r="BB18" s="6"/>
      <c r="BC18" s="6"/>
      <c r="BE18" s="34"/>
      <c r="BF18" s="32"/>
      <c r="BG18" s="28"/>
      <c r="BH18" s="22"/>
      <c r="BI18" s="26"/>
      <c r="BJ18" s="26"/>
      <c r="BL18" s="30"/>
      <c r="BM18" s="32"/>
      <c r="BN18" s="28"/>
      <c r="BO18" s="27"/>
      <c r="BP18" s="26"/>
      <c r="BQ18" s="26"/>
      <c r="BS18" s="25"/>
      <c r="BT18" s="32"/>
      <c r="BU18" s="28"/>
      <c r="BV18" s="22"/>
      <c r="BW18" s="26"/>
      <c r="BX18" s="26"/>
      <c r="BZ18" s="25"/>
      <c r="CA18" s="32"/>
      <c r="CB18" s="28"/>
      <c r="CC18" s="22"/>
      <c r="CD18" s="26"/>
      <c r="CE18" s="26"/>
      <c r="CN18" s="25"/>
      <c r="CO18" s="32"/>
      <c r="CP18" s="28"/>
      <c r="CQ18" s="22"/>
      <c r="CR18" s="26"/>
      <c r="CS18" s="26"/>
    </row>
    <row r="19" spans="1:97" x14ac:dyDescent="0.3">
      <c r="F19" s="26"/>
      <c r="L19" s="26"/>
      <c r="R19" s="22"/>
      <c r="X19" s="28"/>
      <c r="AD19" s="32"/>
      <c r="AF19"/>
      <c r="AJ19" s="25"/>
      <c r="AK19" s="32"/>
      <c r="AL19" s="28"/>
      <c r="AM19" s="22"/>
      <c r="AN19" s="26"/>
      <c r="AO19" s="26"/>
      <c r="BB19" s="6"/>
      <c r="BC19" s="6"/>
      <c r="BE19" s="34"/>
      <c r="BF19" s="32"/>
      <c r="BG19" s="28"/>
      <c r="BH19" s="22"/>
      <c r="BI19" s="26"/>
      <c r="BJ19" s="26"/>
      <c r="BL19" s="25"/>
      <c r="BM19" s="32"/>
      <c r="BN19" s="28"/>
      <c r="BO19" s="27"/>
      <c r="BP19" s="26"/>
      <c r="BQ19" s="26"/>
      <c r="BS19" s="25"/>
      <c r="BT19" s="32"/>
      <c r="BU19" s="28"/>
      <c r="BV19" s="22"/>
      <c r="BW19" s="26"/>
      <c r="BX19" s="26"/>
      <c r="BZ19" s="25"/>
      <c r="CA19" s="32"/>
      <c r="CB19" s="28"/>
      <c r="CC19" s="22"/>
      <c r="CD19" s="26"/>
      <c r="CE19" s="26"/>
      <c r="CN19" s="25"/>
      <c r="CO19" s="32"/>
      <c r="CP19" s="28"/>
      <c r="CQ19" s="22"/>
      <c r="CR19" s="26"/>
      <c r="CS19" s="26"/>
    </row>
    <row r="20" spans="1:97" x14ac:dyDescent="0.3">
      <c r="A20" s="37" t="s">
        <v>9</v>
      </c>
      <c r="B20" s="44" t="s">
        <v>36</v>
      </c>
      <c r="C20" s="44" t="s">
        <v>37</v>
      </c>
      <c r="D20" s="44" t="s">
        <v>38</v>
      </c>
      <c r="E20" s="18" t="s">
        <v>38</v>
      </c>
      <c r="F20" s="26"/>
      <c r="G20" s="37" t="s">
        <v>11</v>
      </c>
      <c r="H20" s="44" t="s">
        <v>36</v>
      </c>
      <c r="I20" s="44" t="s">
        <v>37</v>
      </c>
      <c r="J20" s="44" t="s">
        <v>38</v>
      </c>
      <c r="K20" s="18" t="s">
        <v>38</v>
      </c>
      <c r="L20" s="26"/>
      <c r="M20" s="37" t="s">
        <v>13</v>
      </c>
      <c r="N20" s="44" t="s">
        <v>36</v>
      </c>
      <c r="O20" s="44" t="s">
        <v>37</v>
      </c>
      <c r="P20" s="44" t="s">
        <v>38</v>
      </c>
      <c r="Q20" s="18" t="s">
        <v>38</v>
      </c>
      <c r="R20" s="22"/>
      <c r="S20" s="37" t="s">
        <v>17</v>
      </c>
      <c r="T20" s="44" t="s">
        <v>36</v>
      </c>
      <c r="U20" s="44" t="s">
        <v>37</v>
      </c>
      <c r="V20" s="44" t="s">
        <v>38</v>
      </c>
      <c r="W20" s="18" t="s">
        <v>38</v>
      </c>
      <c r="X20" s="28"/>
      <c r="Y20" s="37" t="s">
        <v>22</v>
      </c>
      <c r="Z20" s="44" t="s">
        <v>36</v>
      </c>
      <c r="AA20" s="44" t="s">
        <v>37</v>
      </c>
      <c r="AB20" s="44" t="s">
        <v>38</v>
      </c>
      <c r="AC20" s="18" t="s">
        <v>38</v>
      </c>
      <c r="AE20" s="37" t="s">
        <v>24</v>
      </c>
      <c r="AF20" s="44" t="s">
        <v>36</v>
      </c>
      <c r="AG20" s="44" t="s">
        <v>37</v>
      </c>
      <c r="AH20" s="44" t="s">
        <v>38</v>
      </c>
      <c r="AI20" s="18" t="s">
        <v>38</v>
      </c>
      <c r="AJ20" s="25"/>
      <c r="AK20" s="37" t="s">
        <v>33</v>
      </c>
      <c r="AL20" s="44" t="s">
        <v>36</v>
      </c>
      <c r="AM20" s="44" t="s">
        <v>37</v>
      </c>
      <c r="AN20" s="44" t="s">
        <v>38</v>
      </c>
      <c r="AO20" s="18" t="s">
        <v>38</v>
      </c>
      <c r="AQ20" s="37" t="s">
        <v>28</v>
      </c>
      <c r="AR20" s="44" t="s">
        <v>36</v>
      </c>
      <c r="AS20" s="44" t="s">
        <v>37</v>
      </c>
      <c r="AT20" s="44" t="s">
        <v>38</v>
      </c>
      <c r="AU20" s="18" t="s">
        <v>38</v>
      </c>
      <c r="AW20" s="37" t="s">
        <v>32</v>
      </c>
      <c r="AX20" s="44" t="s">
        <v>36</v>
      </c>
      <c r="AY20" s="44" t="s">
        <v>37</v>
      </c>
      <c r="AZ20" s="44" t="s">
        <v>38</v>
      </c>
      <c r="BA20" s="18" t="s">
        <v>38</v>
      </c>
      <c r="BB20" s="6"/>
      <c r="BC20" s="6"/>
      <c r="BE20" s="34"/>
      <c r="BF20" s="32"/>
      <c r="BG20" s="28"/>
      <c r="BH20" s="22"/>
      <c r="BI20" s="26"/>
      <c r="BJ20" s="26"/>
      <c r="BO20"/>
      <c r="BS20" s="25"/>
      <c r="BT20" s="32"/>
      <c r="BU20" s="28"/>
      <c r="BV20" s="22"/>
      <c r="BW20" s="26"/>
      <c r="BX20" s="26"/>
      <c r="BZ20" s="25"/>
      <c r="CA20" s="32"/>
      <c r="CB20" s="28"/>
      <c r="CC20" s="22"/>
      <c r="CD20" s="26"/>
      <c r="CE20" s="26"/>
      <c r="CN20" s="25"/>
      <c r="CO20" s="32"/>
      <c r="CP20" s="28"/>
      <c r="CQ20" s="22"/>
      <c r="CR20" s="26"/>
      <c r="CS20" s="26"/>
    </row>
    <row r="21" spans="1:97" x14ac:dyDescent="0.3">
      <c r="A21" s="41" t="s">
        <v>69</v>
      </c>
      <c r="B21" s="42">
        <v>307430000</v>
      </c>
      <c r="C21" s="43">
        <v>4.7850440638828776E-2</v>
      </c>
      <c r="D21" s="48">
        <v>8</v>
      </c>
      <c r="E21" s="43">
        <v>3.8834951456310676E-2</v>
      </c>
      <c r="F21" s="26"/>
      <c r="G21" s="41" t="s">
        <v>68</v>
      </c>
      <c r="H21" s="42">
        <v>409140000</v>
      </c>
      <c r="I21" s="43">
        <v>6.3681258442476033E-2</v>
      </c>
      <c r="J21" s="48">
        <v>13</v>
      </c>
      <c r="K21" s="43">
        <v>6.3106796116504854E-2</v>
      </c>
      <c r="L21" s="26"/>
      <c r="M21" s="41" t="s">
        <v>68</v>
      </c>
      <c r="N21" s="42">
        <v>1172062135</v>
      </c>
      <c r="O21" s="43">
        <v>0.18242751070434382</v>
      </c>
      <c r="P21" s="48">
        <v>66</v>
      </c>
      <c r="Q21" s="43">
        <v>0.32038834951456313</v>
      </c>
      <c r="R21" s="22"/>
      <c r="S21" s="41" t="s">
        <v>84</v>
      </c>
      <c r="T21" s="42">
        <v>3874291107</v>
      </c>
      <c r="U21" s="43">
        <v>0.60302031887924312</v>
      </c>
      <c r="V21" s="48">
        <v>94</v>
      </c>
      <c r="W21" s="43">
        <v>0.4563106796116505</v>
      </c>
      <c r="X21" s="28"/>
      <c r="Y21" s="41" t="s">
        <v>56</v>
      </c>
      <c r="Z21" s="42">
        <v>421385219</v>
      </c>
      <c r="AA21" s="43">
        <v>6.5587185401032311E-2</v>
      </c>
      <c r="AB21" s="48">
        <v>101</v>
      </c>
      <c r="AC21" s="43">
        <v>0.49029126213592233</v>
      </c>
      <c r="AE21" s="41" t="s">
        <v>87</v>
      </c>
      <c r="AF21" s="42">
        <v>65946016</v>
      </c>
      <c r="AG21" s="43">
        <v>1.0264274546970863E-2</v>
      </c>
      <c r="AH21" s="48">
        <v>15</v>
      </c>
      <c r="AI21" s="43">
        <v>7.281553398058252E-2</v>
      </c>
      <c r="AJ21" s="25"/>
      <c r="AK21" s="41" t="s">
        <v>48</v>
      </c>
      <c r="AL21" s="42">
        <v>1055590002</v>
      </c>
      <c r="AM21" s="43">
        <v>0.1642990167831446</v>
      </c>
      <c r="AN21" s="48">
        <v>25</v>
      </c>
      <c r="AO21" s="43">
        <v>0.12135922330097088</v>
      </c>
      <c r="AQ21" s="41" t="s">
        <v>103</v>
      </c>
      <c r="AR21" s="42">
        <v>4696230219</v>
      </c>
      <c r="AS21" s="43">
        <v>0.73095236418219878</v>
      </c>
      <c r="AT21" s="48">
        <v>159</v>
      </c>
      <c r="AU21" s="43">
        <v>0.77184466019417475</v>
      </c>
      <c r="AW21" s="41" t="s">
        <v>128</v>
      </c>
      <c r="AX21" s="42">
        <v>137100000</v>
      </c>
      <c r="AY21" s="43">
        <v>2.1339151714482727E-2</v>
      </c>
      <c r="AZ21" s="48">
        <v>7</v>
      </c>
      <c r="BA21" s="43">
        <v>3.3980582524271843E-2</v>
      </c>
      <c r="BB21" s="28"/>
      <c r="BC21" s="28"/>
      <c r="BE21" s="34"/>
      <c r="BF21" s="32"/>
      <c r="BG21" s="28"/>
      <c r="BH21" s="22"/>
      <c r="BI21" s="26"/>
      <c r="BJ21" s="26"/>
      <c r="BO21"/>
      <c r="BS21" s="25"/>
      <c r="BT21" s="32"/>
      <c r="BU21" s="28"/>
      <c r="BV21" s="22"/>
      <c r="BW21" s="26"/>
      <c r="BX21" s="26"/>
      <c r="BZ21" s="25"/>
      <c r="CA21" s="32"/>
      <c r="CB21" s="28"/>
      <c r="CC21" s="22"/>
      <c r="CD21" s="26"/>
      <c r="CE21" s="26"/>
      <c r="CN21" s="25"/>
      <c r="CO21" s="32"/>
      <c r="CP21" s="28"/>
      <c r="CQ21" s="22"/>
      <c r="CR21" s="26"/>
      <c r="CS21" s="26"/>
    </row>
    <row r="22" spans="1:97" x14ac:dyDescent="0.3">
      <c r="A22" s="41" t="s">
        <v>70</v>
      </c>
      <c r="B22" s="42">
        <v>39156000</v>
      </c>
      <c r="C22" s="43">
        <v>6.0944990848452642E-3</v>
      </c>
      <c r="D22" s="48">
        <v>4</v>
      </c>
      <c r="E22" s="43">
        <v>1.9417475728155338E-2</v>
      </c>
      <c r="F22" s="26"/>
      <c r="G22" s="41" t="s">
        <v>69</v>
      </c>
      <c r="H22" s="42">
        <v>1981708079</v>
      </c>
      <c r="I22" s="43">
        <v>0.30844616594892138</v>
      </c>
      <c r="J22" s="48">
        <v>41</v>
      </c>
      <c r="K22" s="43">
        <v>0.19902912621359223</v>
      </c>
      <c r="L22" s="26"/>
      <c r="M22" s="41" t="s">
        <v>69</v>
      </c>
      <c r="N22" s="42">
        <v>432556002</v>
      </c>
      <c r="O22" s="43">
        <v>6.7325880026900764E-2</v>
      </c>
      <c r="P22" s="48">
        <v>27</v>
      </c>
      <c r="Q22" s="43">
        <v>0.13106796116504854</v>
      </c>
      <c r="R22" s="22"/>
      <c r="S22" s="41" t="s">
        <v>85</v>
      </c>
      <c r="T22" s="42">
        <v>1415966011</v>
      </c>
      <c r="U22" s="43">
        <v>0.22039032480875215</v>
      </c>
      <c r="V22" s="48">
        <v>57</v>
      </c>
      <c r="W22" s="43">
        <v>0.27669902912621358</v>
      </c>
      <c r="X22" s="28"/>
      <c r="Y22" s="41" t="s">
        <v>57</v>
      </c>
      <c r="Z22" s="42">
        <v>479280000</v>
      </c>
      <c r="AA22" s="43">
        <v>7.4598312426821897E-2</v>
      </c>
      <c r="AB22" s="48">
        <v>30</v>
      </c>
      <c r="AC22" s="43">
        <v>0.14563106796116504</v>
      </c>
      <c r="AE22" s="41" t="s">
        <v>88</v>
      </c>
      <c r="AF22" s="42">
        <v>8</v>
      </c>
      <c r="AG22" s="43">
        <v>1.2451729665635436E-9</v>
      </c>
      <c r="AH22" s="48">
        <v>4</v>
      </c>
      <c r="AI22" s="43">
        <v>1.9417475728155338E-2</v>
      </c>
      <c r="AJ22" s="25"/>
      <c r="AK22" s="41" t="s">
        <v>49</v>
      </c>
      <c r="AL22" s="42">
        <v>712800008</v>
      </c>
      <c r="AM22" s="43">
        <v>0.1109449125659847</v>
      </c>
      <c r="AN22" s="48">
        <v>31</v>
      </c>
      <c r="AO22" s="43">
        <v>0.15048543689320387</v>
      </c>
      <c r="AQ22" s="41" t="s">
        <v>137</v>
      </c>
      <c r="AR22" s="42">
        <v>659000000</v>
      </c>
      <c r="AS22" s="43">
        <v>0.1025711231206719</v>
      </c>
      <c r="AT22" s="48">
        <v>6</v>
      </c>
      <c r="AU22" s="43">
        <v>2.9126213592233011E-2</v>
      </c>
      <c r="AW22" s="41" t="s">
        <v>129</v>
      </c>
      <c r="AX22" s="42">
        <v>70000000</v>
      </c>
      <c r="AY22" s="43">
        <v>1.0895263457431007E-2</v>
      </c>
      <c r="AZ22" s="48">
        <v>1</v>
      </c>
      <c r="BA22" s="43">
        <v>4.8543689320388345E-3</v>
      </c>
      <c r="BB22" s="25"/>
      <c r="BC22" s="25"/>
      <c r="BE22" s="34"/>
      <c r="BF22" s="32"/>
      <c r="BG22" s="28"/>
      <c r="BH22" s="22"/>
      <c r="BI22" s="26"/>
      <c r="BJ22" s="26"/>
      <c r="BO22"/>
      <c r="BS22" s="25"/>
      <c r="BT22" s="32"/>
      <c r="BU22" s="28"/>
      <c r="BV22" s="22"/>
      <c r="BW22" s="26"/>
      <c r="BX22" s="26"/>
      <c r="BZ22" s="25"/>
      <c r="CA22" s="32"/>
      <c r="CB22" s="28"/>
      <c r="CC22" s="22"/>
      <c r="CD22" s="26"/>
      <c r="CE22" s="26"/>
      <c r="CN22" s="25"/>
      <c r="CO22" s="32"/>
      <c r="CP22" s="28"/>
      <c r="CQ22" s="22"/>
      <c r="CR22" s="26"/>
      <c r="CS22" s="26"/>
    </row>
    <row r="23" spans="1:97" x14ac:dyDescent="0.3">
      <c r="A23" s="41" t="s">
        <v>71</v>
      </c>
      <c r="B23" s="42">
        <v>535315000</v>
      </c>
      <c r="C23" s="43">
        <v>8.331997082449541E-2</v>
      </c>
      <c r="D23" s="48">
        <v>21</v>
      </c>
      <c r="E23" s="43">
        <v>0.10194174757281553</v>
      </c>
      <c r="F23" s="26"/>
      <c r="G23" s="41" t="s">
        <v>70</v>
      </c>
      <c r="H23" s="42">
        <v>1067700003</v>
      </c>
      <c r="I23" s="43">
        <v>0.1661838975169268</v>
      </c>
      <c r="J23" s="48">
        <v>35</v>
      </c>
      <c r="K23" s="43">
        <v>0.16990291262135923</v>
      </c>
      <c r="L23" s="26"/>
      <c r="M23" s="41" t="s">
        <v>70</v>
      </c>
      <c r="N23" s="42">
        <v>1377452078</v>
      </c>
      <c r="O23" s="43">
        <v>0.21439576128279719</v>
      </c>
      <c r="P23" s="48">
        <v>34</v>
      </c>
      <c r="Q23" s="43">
        <v>0.1650485436893204</v>
      </c>
      <c r="R23" s="22"/>
      <c r="S23" s="41" t="s">
        <v>86</v>
      </c>
      <c r="T23" s="42">
        <v>1134553101</v>
      </c>
      <c r="U23" s="43">
        <v>0.1765893563120047</v>
      </c>
      <c r="V23" s="48">
        <v>55</v>
      </c>
      <c r="W23" s="43">
        <v>0.26699029126213591</v>
      </c>
      <c r="X23" s="28"/>
      <c r="Y23" s="41" t="s">
        <v>58</v>
      </c>
      <c r="Z23" s="42">
        <v>544540000</v>
      </c>
      <c r="AA23" s="43">
        <v>8.4755810901564005E-2</v>
      </c>
      <c r="AB23" s="48">
        <v>20</v>
      </c>
      <c r="AC23" s="43">
        <v>9.7087378640776698E-2</v>
      </c>
      <c r="AE23" s="41" t="s">
        <v>89</v>
      </c>
      <c r="AF23" s="42">
        <v>6358864195</v>
      </c>
      <c r="AG23" s="43">
        <v>0.98973572420785616</v>
      </c>
      <c r="AH23" s="48">
        <v>187</v>
      </c>
      <c r="AI23" s="43">
        <v>0.90776699029126218</v>
      </c>
      <c r="AJ23" s="25"/>
      <c r="AK23" s="41" t="s">
        <v>50</v>
      </c>
      <c r="AL23" s="42">
        <v>1000000</v>
      </c>
      <c r="AM23" s="43">
        <v>1.5564662082044294E-4</v>
      </c>
      <c r="AN23" s="48">
        <v>1</v>
      </c>
      <c r="AO23" s="43">
        <v>4.8543689320388345E-3</v>
      </c>
      <c r="AQ23" s="41" t="s">
        <v>138</v>
      </c>
      <c r="AR23" s="42">
        <v>135000000</v>
      </c>
      <c r="AS23" s="43">
        <v>2.1012293810759797E-2</v>
      </c>
      <c r="AT23" s="48">
        <v>9</v>
      </c>
      <c r="AU23" s="43">
        <v>4.3689320388349516E-2</v>
      </c>
      <c r="AW23" s="41" t="s">
        <v>39</v>
      </c>
      <c r="AX23" s="42">
        <v>1174500000</v>
      </c>
      <c r="AY23" s="43">
        <v>0.18280695615361023</v>
      </c>
      <c r="AZ23" s="48">
        <v>12</v>
      </c>
      <c r="BA23" s="43">
        <v>5.8252427184466021E-2</v>
      </c>
      <c r="BB23" s="26"/>
      <c r="BC23" s="26"/>
      <c r="BE23" s="34"/>
      <c r="BF23" s="32"/>
      <c r="BG23" s="28"/>
      <c r="BH23" s="22"/>
      <c r="BI23" s="26"/>
      <c r="BJ23" s="26"/>
      <c r="BO23"/>
      <c r="BS23" s="25"/>
      <c r="BT23" s="32"/>
      <c r="BU23" s="28"/>
      <c r="BV23" s="22"/>
      <c r="BW23" s="26"/>
      <c r="BX23" s="26"/>
      <c r="BZ23" s="25"/>
      <c r="CA23" s="32"/>
      <c r="CB23" s="28"/>
      <c r="CC23" s="22"/>
      <c r="CD23" s="26"/>
      <c r="CE23" s="26"/>
      <c r="CN23" s="25"/>
      <c r="CO23" s="32"/>
      <c r="CP23" s="28"/>
      <c r="CQ23" s="22"/>
      <c r="CR23" s="26"/>
      <c r="CS23" s="26"/>
    </row>
    <row r="24" spans="1:97" x14ac:dyDescent="0.3">
      <c r="A24" s="41" t="s">
        <v>72</v>
      </c>
      <c r="B24" s="42">
        <v>146172079</v>
      </c>
      <c r="C24" s="43">
        <v>2.2751190154648829E-2</v>
      </c>
      <c r="D24" s="48">
        <v>15</v>
      </c>
      <c r="E24" s="43">
        <v>7.281553398058252E-2</v>
      </c>
      <c r="F24" s="26"/>
      <c r="G24" s="41" t="s">
        <v>71</v>
      </c>
      <c r="H24" s="42">
        <v>1533000000</v>
      </c>
      <c r="I24" s="43">
        <v>0.23860626971773904</v>
      </c>
      <c r="J24" s="48">
        <v>25</v>
      </c>
      <c r="K24" s="43">
        <v>0.12135922330097088</v>
      </c>
      <c r="L24" s="26"/>
      <c r="M24" s="41" t="s">
        <v>71</v>
      </c>
      <c r="N24" s="42">
        <v>863200003</v>
      </c>
      <c r="O24" s="43">
        <v>0.1343541635591462</v>
      </c>
      <c r="P24" s="48">
        <v>28</v>
      </c>
      <c r="Q24" s="43">
        <v>0.13592233009708737</v>
      </c>
      <c r="R24" s="22"/>
      <c r="S24" s="41" t="s">
        <v>47</v>
      </c>
      <c r="T24" s="42">
        <v>6424810219</v>
      </c>
      <c r="U24" s="43">
        <v>1</v>
      </c>
      <c r="V24" s="48">
        <v>206</v>
      </c>
      <c r="W24" s="43">
        <v>1</v>
      </c>
      <c r="X24" s="28"/>
      <c r="Y24" s="41" t="s">
        <v>59</v>
      </c>
      <c r="Z24" s="42">
        <v>222400000</v>
      </c>
      <c r="AA24" s="43">
        <v>3.4615808470466511E-2</v>
      </c>
      <c r="AB24" s="48">
        <v>6</v>
      </c>
      <c r="AC24" s="43">
        <v>2.9126213592233011E-2</v>
      </c>
      <c r="AE24" s="41" t="s">
        <v>47</v>
      </c>
      <c r="AF24" s="42">
        <v>6424810219</v>
      </c>
      <c r="AG24" s="43">
        <v>1</v>
      </c>
      <c r="AH24" s="48">
        <v>206</v>
      </c>
      <c r="AI24" s="43">
        <v>1</v>
      </c>
      <c r="AJ24" s="25"/>
      <c r="AK24" s="41" t="s">
        <v>51</v>
      </c>
      <c r="AL24" s="42">
        <v>279000000</v>
      </c>
      <c r="AM24" s="43">
        <v>4.3425407208903581E-2</v>
      </c>
      <c r="AN24" s="48">
        <v>5</v>
      </c>
      <c r="AO24" s="43">
        <v>2.4271844660194174E-2</v>
      </c>
      <c r="AQ24" s="41" t="s">
        <v>139</v>
      </c>
      <c r="AR24" s="42">
        <v>568080000</v>
      </c>
      <c r="AS24" s="43">
        <v>8.8419732355677225E-2</v>
      </c>
      <c r="AT24" s="48">
        <v>21</v>
      </c>
      <c r="AU24" s="43">
        <v>0.10194174757281553</v>
      </c>
      <c r="AW24" s="41" t="s">
        <v>130</v>
      </c>
      <c r="AX24" s="42">
        <v>33980000</v>
      </c>
      <c r="AY24" s="43">
        <v>5.2888721754786516E-3</v>
      </c>
      <c r="AZ24" s="48">
        <v>6</v>
      </c>
      <c r="BA24" s="43">
        <v>2.9126213592233011E-2</v>
      </c>
      <c r="BB24" s="26"/>
      <c r="BC24" s="26"/>
      <c r="BE24" s="34"/>
      <c r="BF24" s="32"/>
      <c r="BG24" s="28"/>
      <c r="BH24" s="22"/>
      <c r="BI24" s="26"/>
      <c r="BJ24" s="26"/>
      <c r="BO24"/>
      <c r="BS24" s="25"/>
      <c r="BT24" s="32"/>
      <c r="BU24" s="28"/>
      <c r="BV24" s="22"/>
      <c r="BW24" s="26"/>
      <c r="BX24" s="26"/>
      <c r="BZ24" s="25"/>
      <c r="CA24" s="32"/>
      <c r="CB24" s="28"/>
      <c r="CC24" s="22"/>
      <c r="CD24" s="26"/>
      <c r="CE24" s="26"/>
      <c r="CN24" s="25"/>
      <c r="CO24" s="32"/>
      <c r="CP24" s="28"/>
      <c r="CQ24" s="22"/>
      <c r="CR24" s="26"/>
      <c r="CS24" s="26"/>
    </row>
    <row r="25" spans="1:97" x14ac:dyDescent="0.3">
      <c r="A25" s="41" t="s">
        <v>73</v>
      </c>
      <c r="B25" s="42">
        <v>2755440029</v>
      </c>
      <c r="C25" s="43">
        <v>0.42887492938723332</v>
      </c>
      <c r="D25" s="48">
        <v>82</v>
      </c>
      <c r="E25" s="43">
        <v>0.39805825242718446</v>
      </c>
      <c r="F25" s="26"/>
      <c r="G25" s="41" t="s">
        <v>72</v>
      </c>
      <c r="H25" s="42">
        <v>337175003</v>
      </c>
      <c r="I25" s="43">
        <v>5.2480149842072714E-2</v>
      </c>
      <c r="J25" s="48">
        <v>18</v>
      </c>
      <c r="K25" s="43">
        <v>8.7378640776699032E-2</v>
      </c>
      <c r="L25" s="26"/>
      <c r="M25" s="41" t="s">
        <v>72</v>
      </c>
      <c r="N25" s="42">
        <v>873700001</v>
      </c>
      <c r="O25" s="43">
        <v>0.13598845276646762</v>
      </c>
      <c r="P25" s="48">
        <v>18</v>
      </c>
      <c r="Q25" s="43">
        <v>8.7378640776699032E-2</v>
      </c>
      <c r="R25" s="22"/>
      <c r="Y25" s="41" t="s">
        <v>60</v>
      </c>
      <c r="Z25" s="42">
        <v>740930000</v>
      </c>
      <c r="AA25" s="43">
        <v>0.11532325076449079</v>
      </c>
      <c r="AB25" s="48">
        <v>15</v>
      </c>
      <c r="AC25" s="43">
        <v>7.281553398058252E-2</v>
      </c>
      <c r="AF25"/>
      <c r="AJ25" s="25"/>
      <c r="AK25" s="41" t="s">
        <v>52</v>
      </c>
      <c r="AL25" s="42">
        <v>853500008</v>
      </c>
      <c r="AM25" s="43">
        <v>0.13284439211542101</v>
      </c>
      <c r="AN25" s="48">
        <v>19</v>
      </c>
      <c r="AO25" s="43">
        <v>9.2233009708737865E-2</v>
      </c>
      <c r="AQ25" s="41" t="s">
        <v>140</v>
      </c>
      <c r="AR25" s="42">
        <v>353000000</v>
      </c>
      <c r="AS25" s="43">
        <v>5.4943257149616356E-2</v>
      </c>
      <c r="AT25" s="48">
        <v>9</v>
      </c>
      <c r="AU25" s="43">
        <v>4.3689320388349516E-2</v>
      </c>
      <c r="AW25" s="41" t="s">
        <v>40</v>
      </c>
      <c r="AX25" s="42">
        <v>244611012</v>
      </c>
      <c r="AY25" s="43">
        <v>3.8072877433268822E-2</v>
      </c>
      <c r="AZ25" s="48">
        <v>22</v>
      </c>
      <c r="BA25" s="43">
        <v>0.10679611650485436</v>
      </c>
      <c r="BB25" s="26"/>
      <c r="BC25" s="26"/>
      <c r="BE25" s="34"/>
      <c r="BF25" s="32"/>
      <c r="BG25" s="28"/>
      <c r="BH25" s="22"/>
      <c r="BI25" s="26"/>
      <c r="BJ25" s="26"/>
      <c r="BO25"/>
      <c r="BS25" s="25"/>
      <c r="BT25" s="32"/>
      <c r="BU25" s="28"/>
      <c r="BV25" s="22"/>
      <c r="BW25" s="26"/>
      <c r="BX25" s="26"/>
      <c r="BZ25" s="25"/>
      <c r="CA25" s="32"/>
      <c r="CB25" s="28"/>
      <c r="CC25" s="22"/>
      <c r="CD25" s="26"/>
      <c r="CE25" s="26"/>
      <c r="CN25" s="25"/>
      <c r="CO25" s="32"/>
      <c r="CP25" s="28"/>
      <c r="CQ25" s="22"/>
      <c r="CR25" s="26"/>
      <c r="CS25" s="26"/>
    </row>
    <row r="26" spans="1:97" x14ac:dyDescent="0.3">
      <c r="A26" s="41" t="s">
        <v>74</v>
      </c>
      <c r="B26" s="42">
        <v>678740004</v>
      </c>
      <c r="C26" s="43">
        <v>0.10564358803825392</v>
      </c>
      <c r="D26" s="48">
        <v>16</v>
      </c>
      <c r="E26" s="43">
        <v>7.7669902912621352E-2</v>
      </c>
      <c r="F26" s="26"/>
      <c r="G26" s="41" t="s">
        <v>73</v>
      </c>
      <c r="H26" s="42">
        <v>692590003</v>
      </c>
      <c r="I26" s="43">
        <v>0.10779929358097044</v>
      </c>
      <c r="J26" s="48">
        <v>21</v>
      </c>
      <c r="K26" s="43">
        <v>0.10194174757281553</v>
      </c>
      <c r="L26" s="26"/>
      <c r="M26" s="41" t="s">
        <v>73</v>
      </c>
      <c r="N26" s="42">
        <v>40000000</v>
      </c>
      <c r="O26" s="43">
        <v>6.2258648328177178E-3</v>
      </c>
      <c r="P26" s="48">
        <v>3</v>
      </c>
      <c r="Q26" s="43">
        <v>1.4563106796116505E-2</v>
      </c>
      <c r="R26" s="22"/>
      <c r="Y26" s="41" t="s">
        <v>61</v>
      </c>
      <c r="Z26" s="42">
        <v>172500000</v>
      </c>
      <c r="AA26" s="43">
        <v>2.6849042091526408E-2</v>
      </c>
      <c r="AB26" s="48">
        <v>3</v>
      </c>
      <c r="AC26" s="43">
        <v>1.4563106796116505E-2</v>
      </c>
      <c r="AF26"/>
      <c r="AJ26" s="25"/>
      <c r="AK26" s="41" t="s">
        <v>53</v>
      </c>
      <c r="AL26" s="42">
        <v>1947768120</v>
      </c>
      <c r="AM26" s="43">
        <v>0.30316352601978702</v>
      </c>
      <c r="AN26" s="48">
        <v>98</v>
      </c>
      <c r="AO26" s="43">
        <v>0.47572815533980584</v>
      </c>
      <c r="AQ26" s="41" t="s">
        <v>104</v>
      </c>
      <c r="AR26" s="42">
        <v>12500000</v>
      </c>
      <c r="AS26" s="43">
        <v>1.9455827602555369E-3</v>
      </c>
      <c r="AT26" s="48">
        <v>1</v>
      </c>
      <c r="AU26" s="43">
        <v>4.8543689320388345E-3</v>
      </c>
      <c r="AW26" s="41" t="s">
        <v>41</v>
      </c>
      <c r="AX26" s="42">
        <v>174660000</v>
      </c>
      <c r="AY26" s="43">
        <v>2.7185238792498564E-2</v>
      </c>
      <c r="AZ26" s="48">
        <v>3</v>
      </c>
      <c r="BA26" s="43">
        <v>1.4563106796116505E-2</v>
      </c>
      <c r="BE26" s="34"/>
      <c r="BF26" s="32"/>
      <c r="BG26" s="28"/>
      <c r="BH26" s="22"/>
      <c r="BI26" s="26"/>
      <c r="BJ26" s="26"/>
      <c r="BO26"/>
      <c r="BZ26" s="25"/>
      <c r="CA26" s="32"/>
      <c r="CB26" s="28"/>
      <c r="CC26" s="22"/>
      <c r="CD26" s="26"/>
      <c r="CE26" s="26"/>
      <c r="CN26" s="25"/>
      <c r="CO26" s="32"/>
      <c r="CP26" s="28"/>
      <c r="CQ26" s="22"/>
      <c r="CR26" s="26"/>
      <c r="CS26" s="26"/>
    </row>
    <row r="27" spans="1:97" x14ac:dyDescent="0.3">
      <c r="A27" s="41" t="s">
        <v>75</v>
      </c>
      <c r="B27" s="42">
        <v>10000007</v>
      </c>
      <c r="C27" s="43">
        <v>1.5564672977307751E-3</v>
      </c>
      <c r="D27" s="48">
        <v>8</v>
      </c>
      <c r="E27" s="43">
        <v>3.8834951456310676E-2</v>
      </c>
      <c r="F27" s="26"/>
      <c r="G27" s="41" t="s">
        <v>74</v>
      </c>
      <c r="H27" s="42">
        <v>192100006</v>
      </c>
      <c r="I27" s="43">
        <v>2.9899716793486814E-2</v>
      </c>
      <c r="J27" s="48">
        <v>16</v>
      </c>
      <c r="K27" s="43">
        <v>7.7669902912621352E-2</v>
      </c>
      <c r="L27" s="26"/>
      <c r="M27" s="41" t="s">
        <v>74</v>
      </c>
      <c r="N27" s="42">
        <v>538200000</v>
      </c>
      <c r="O27" s="43">
        <v>8.3769011325562387E-2</v>
      </c>
      <c r="P27" s="48">
        <v>5</v>
      </c>
      <c r="Q27" s="43">
        <v>2.4271844660194174E-2</v>
      </c>
      <c r="R27" s="22"/>
      <c r="Y27" s="41" t="s">
        <v>62</v>
      </c>
      <c r="Z27" s="42">
        <v>199000000</v>
      </c>
      <c r="AA27" s="43">
        <v>3.0973677543268147E-2</v>
      </c>
      <c r="AB27" s="48">
        <v>3</v>
      </c>
      <c r="AC27" s="43">
        <v>1.4563106796116505E-2</v>
      </c>
      <c r="AF27"/>
      <c r="AJ27" s="25"/>
      <c r="AK27" s="41" t="s">
        <v>54</v>
      </c>
      <c r="AL27" s="42">
        <v>337200003</v>
      </c>
      <c r="AM27" s="43">
        <v>5.2484041007593227E-2</v>
      </c>
      <c r="AN27" s="48">
        <v>11</v>
      </c>
      <c r="AO27" s="43">
        <v>5.3398058252427182E-2</v>
      </c>
      <c r="AQ27" s="41" t="s">
        <v>105</v>
      </c>
      <c r="AR27" s="42">
        <v>1000000</v>
      </c>
      <c r="AS27" s="43">
        <v>1.5564662082044294E-4</v>
      </c>
      <c r="AT27" s="48">
        <v>1</v>
      </c>
      <c r="AU27" s="43">
        <v>4.8543689320388345E-3</v>
      </c>
      <c r="AW27" s="41" t="s">
        <v>131</v>
      </c>
      <c r="AX27" s="42">
        <v>26500000</v>
      </c>
      <c r="AY27" s="43">
        <v>4.1246354517417384E-3</v>
      </c>
      <c r="AZ27" s="48">
        <v>1</v>
      </c>
      <c r="BA27" s="43">
        <v>4.8543689320388345E-3</v>
      </c>
      <c r="BB27" s="6"/>
      <c r="BC27" s="6"/>
      <c r="BE27" s="25"/>
      <c r="BF27" s="32"/>
      <c r="BG27" s="28"/>
      <c r="BH27" s="22"/>
      <c r="BI27" s="26"/>
      <c r="BJ27" s="26"/>
      <c r="BO27"/>
      <c r="BZ27" s="25"/>
      <c r="CA27" s="32"/>
      <c r="CB27" s="28"/>
      <c r="CC27" s="22"/>
      <c r="CD27" s="26"/>
      <c r="CE27" s="26"/>
      <c r="CN27" s="25"/>
      <c r="CO27" s="32"/>
      <c r="CP27" s="28"/>
      <c r="CQ27" s="22"/>
      <c r="CR27" s="26"/>
      <c r="CS27" s="26"/>
    </row>
    <row r="28" spans="1:97" x14ac:dyDescent="0.3">
      <c r="A28" s="41" t="s">
        <v>76</v>
      </c>
      <c r="B28" s="42">
        <v>18000000</v>
      </c>
      <c r="C28" s="43">
        <v>2.801639174767973E-3</v>
      </c>
      <c r="D28" s="48">
        <v>2</v>
      </c>
      <c r="E28" s="43">
        <v>9.7087378640776691E-3</v>
      </c>
      <c r="F28" s="26"/>
      <c r="G28" s="41" t="s">
        <v>75</v>
      </c>
      <c r="H28" s="42">
        <v>73000007</v>
      </c>
      <c r="I28" s="43">
        <v>1.136220440941868E-2</v>
      </c>
      <c r="J28" s="48">
        <v>14</v>
      </c>
      <c r="K28" s="43">
        <v>6.7961165048543687E-2</v>
      </c>
      <c r="L28" s="26"/>
      <c r="M28" s="41" t="s">
        <v>75</v>
      </c>
      <c r="N28" s="42">
        <v>389000000</v>
      </c>
      <c r="O28" s="43">
        <v>6.0546535499152308E-2</v>
      </c>
      <c r="P28" s="48">
        <v>9</v>
      </c>
      <c r="Q28" s="43">
        <v>4.3689320388349516E-2</v>
      </c>
      <c r="R28" s="22"/>
      <c r="Y28" s="41" t="s">
        <v>63</v>
      </c>
      <c r="Z28" s="42">
        <v>310700000</v>
      </c>
      <c r="AA28" s="43">
        <v>4.8359405088911622E-2</v>
      </c>
      <c r="AB28" s="48">
        <v>4</v>
      </c>
      <c r="AC28" s="43">
        <v>1.9417475728155338E-2</v>
      </c>
      <c r="AF28"/>
      <c r="AJ28" s="25"/>
      <c r="AK28" s="41" t="s">
        <v>55</v>
      </c>
      <c r="AL28" s="42">
        <v>1237952078</v>
      </c>
      <c r="AM28" s="43">
        <v>0.1926830576783454</v>
      </c>
      <c r="AN28" s="48">
        <v>16</v>
      </c>
      <c r="AO28" s="43">
        <v>7.7669902912621352E-2</v>
      </c>
      <c r="AQ28" s="41" t="s">
        <v>47</v>
      </c>
      <c r="AR28" s="42">
        <v>6424810219</v>
      </c>
      <c r="AS28" s="43">
        <v>1</v>
      </c>
      <c r="AT28" s="48">
        <v>206</v>
      </c>
      <c r="AU28" s="43">
        <v>1</v>
      </c>
      <c r="AW28" s="41" t="s">
        <v>110</v>
      </c>
      <c r="AX28" s="42">
        <v>136430002</v>
      </c>
      <c r="AY28" s="43">
        <v>2.1234868789826274E-2</v>
      </c>
      <c r="AZ28" s="48">
        <v>3</v>
      </c>
      <c r="BA28" s="43">
        <v>1.4563106796116505E-2</v>
      </c>
      <c r="BB28" s="6"/>
      <c r="BC28" s="6"/>
      <c r="BO28"/>
      <c r="BZ28" s="25"/>
      <c r="CA28" s="32"/>
      <c r="CB28" s="28"/>
      <c r="CC28" s="22"/>
      <c r="CD28" s="26"/>
      <c r="CE28" s="26"/>
      <c r="CN28" s="25"/>
      <c r="CO28" s="32"/>
      <c r="CP28" s="28"/>
      <c r="CQ28" s="22"/>
      <c r="CR28" s="26"/>
      <c r="CS28" s="26"/>
    </row>
    <row r="29" spans="1:97" x14ac:dyDescent="0.3">
      <c r="A29" s="41" t="s">
        <v>77</v>
      </c>
      <c r="B29" s="42">
        <v>1570217100</v>
      </c>
      <c r="C29" s="43">
        <v>0.24439898556947554</v>
      </c>
      <c r="D29" s="48">
        <v>31</v>
      </c>
      <c r="E29" s="43">
        <v>0.15048543689320387</v>
      </c>
      <c r="F29" s="26"/>
      <c r="G29" s="41" t="s">
        <v>76</v>
      </c>
      <c r="H29" s="42">
        <v>5946006</v>
      </c>
      <c r="I29" s="43">
        <v>9.2547574127807867E-4</v>
      </c>
      <c r="J29" s="48">
        <v>6</v>
      </c>
      <c r="K29" s="43">
        <v>2.9126213592233011E-2</v>
      </c>
      <c r="M29" s="41" t="s">
        <v>76</v>
      </c>
      <c r="N29" s="42">
        <v>522000000</v>
      </c>
      <c r="O29" s="43">
        <v>8.1247536068271217E-2</v>
      </c>
      <c r="P29" s="48">
        <v>9</v>
      </c>
      <c r="Q29" s="43">
        <v>4.3689320388349516E-2</v>
      </c>
      <c r="R29" s="22"/>
      <c r="Y29" s="41" t="s">
        <v>64</v>
      </c>
      <c r="Z29" s="42">
        <v>350215000</v>
      </c>
      <c r="AA29" s="43">
        <v>5.4509781310631424E-2</v>
      </c>
      <c r="AB29" s="48">
        <v>4</v>
      </c>
      <c r="AC29" s="43">
        <v>1.9417475728155338E-2</v>
      </c>
      <c r="AF29"/>
      <c r="AJ29" s="25"/>
      <c r="AK29" s="41" t="s">
        <v>47</v>
      </c>
      <c r="AL29" s="42">
        <v>6424810219</v>
      </c>
      <c r="AM29" s="43">
        <v>1</v>
      </c>
      <c r="AN29" s="48">
        <v>206</v>
      </c>
      <c r="AO29" s="43">
        <v>1</v>
      </c>
      <c r="AT29"/>
      <c r="AW29" s="41" t="s">
        <v>132</v>
      </c>
      <c r="AX29" s="42">
        <v>46000000</v>
      </c>
      <c r="AY29" s="43">
        <v>7.1597445577403756E-3</v>
      </c>
      <c r="AZ29" s="48">
        <v>4</v>
      </c>
      <c r="BA29" s="43">
        <v>1.9417475728155338E-2</v>
      </c>
      <c r="BB29" s="6"/>
      <c r="BC29" s="6"/>
      <c r="BO29"/>
      <c r="BZ29" s="25"/>
      <c r="CA29" s="32"/>
      <c r="CB29" s="28"/>
      <c r="CC29" s="22"/>
      <c r="CD29" s="26"/>
      <c r="CE29" s="26"/>
      <c r="CN29" s="25"/>
      <c r="CO29" s="32"/>
      <c r="CP29" s="28"/>
      <c r="CQ29" s="22"/>
      <c r="CR29" s="26"/>
      <c r="CS29" s="26"/>
    </row>
    <row r="30" spans="1:97" x14ac:dyDescent="0.3">
      <c r="A30" s="41" t="s">
        <v>78</v>
      </c>
      <c r="B30" s="42">
        <v>27000000</v>
      </c>
      <c r="C30" s="43">
        <v>4.2024587621519597E-3</v>
      </c>
      <c r="D30" s="48">
        <v>4</v>
      </c>
      <c r="E30" s="43">
        <v>1.9417475728155338E-2</v>
      </c>
      <c r="F30" s="26"/>
      <c r="G30" s="41" t="s">
        <v>77</v>
      </c>
      <c r="H30" s="42">
        <v>132451104</v>
      </c>
      <c r="I30" s="43">
        <v>2.0615566761537054E-2</v>
      </c>
      <c r="J30" s="48">
        <v>13</v>
      </c>
      <c r="K30" s="43">
        <v>6.3106796116504854E-2</v>
      </c>
      <c r="M30" s="41" t="s">
        <v>78</v>
      </c>
      <c r="N30" s="42">
        <v>48480000</v>
      </c>
      <c r="O30" s="43">
        <v>7.5457481773750744E-3</v>
      </c>
      <c r="P30" s="48">
        <v>5</v>
      </c>
      <c r="Q30" s="43">
        <v>2.4271844660194174E-2</v>
      </c>
      <c r="Y30" s="41" t="s">
        <v>65</v>
      </c>
      <c r="Z30" s="42">
        <v>500000000</v>
      </c>
      <c r="AA30" s="43">
        <v>7.7823310410221475E-2</v>
      </c>
      <c r="AB30" s="48">
        <v>5</v>
      </c>
      <c r="AC30" s="43">
        <v>2.4271844660194174E-2</v>
      </c>
      <c r="AF30"/>
      <c r="AJ30" s="25"/>
      <c r="AM30"/>
      <c r="AT30"/>
      <c r="AW30" s="41" t="s">
        <v>42</v>
      </c>
      <c r="AX30" s="42">
        <v>63500004</v>
      </c>
      <c r="AY30" s="43">
        <v>9.883561044684611E-3</v>
      </c>
      <c r="AZ30" s="48">
        <v>8</v>
      </c>
      <c r="BA30" s="43">
        <v>3.8834951456310676E-2</v>
      </c>
      <c r="BB30" s="11"/>
      <c r="BC30" s="11"/>
      <c r="BO30"/>
      <c r="BZ30" s="25"/>
      <c r="CA30" s="32"/>
      <c r="CB30" s="28"/>
      <c r="CC30" s="22"/>
      <c r="CD30" s="26"/>
      <c r="CE30" s="26"/>
      <c r="CN30" s="25"/>
      <c r="CO30" s="32"/>
      <c r="CP30" s="28"/>
      <c r="CQ30" s="22"/>
      <c r="CR30" s="26"/>
      <c r="CS30" s="26"/>
    </row>
    <row r="31" spans="1:97" x14ac:dyDescent="0.3">
      <c r="A31" s="41" t="s">
        <v>82</v>
      </c>
      <c r="B31" s="42">
        <v>294360000</v>
      </c>
      <c r="C31" s="43">
        <v>4.5816139304705586E-2</v>
      </c>
      <c r="D31" s="48">
        <v>11</v>
      </c>
      <c r="E31" s="43">
        <v>5.3398058252427182E-2</v>
      </c>
      <c r="F31" s="26"/>
      <c r="G31" s="41" t="s">
        <v>83</v>
      </c>
      <c r="H31" s="42">
        <v>2</v>
      </c>
      <c r="I31" s="43">
        <v>3.1129324164088591E-10</v>
      </c>
      <c r="J31" s="48">
        <v>1</v>
      </c>
      <c r="K31" s="43">
        <v>4.8543689320388345E-3</v>
      </c>
      <c r="M31" s="41" t="s">
        <v>81</v>
      </c>
      <c r="N31" s="42">
        <v>168160000</v>
      </c>
      <c r="O31" s="43">
        <v>2.6173535757165686E-2</v>
      </c>
      <c r="P31" s="48">
        <v>2</v>
      </c>
      <c r="Q31" s="43">
        <v>9.7087378640776691E-3</v>
      </c>
      <c r="Y31" s="41" t="s">
        <v>66</v>
      </c>
      <c r="Z31" s="42">
        <v>360000000</v>
      </c>
      <c r="AA31" s="43">
        <v>5.6032783495359458E-2</v>
      </c>
      <c r="AB31" s="48">
        <v>3</v>
      </c>
      <c r="AC31" s="43">
        <v>1.4563106796116505E-2</v>
      </c>
      <c r="AF31"/>
      <c r="AJ31" s="25"/>
      <c r="AK31" s="32"/>
      <c r="AL31" s="28"/>
      <c r="AM31" s="22"/>
      <c r="AN31" s="26"/>
      <c r="AO31" s="26"/>
      <c r="AT31"/>
      <c r="AW31" s="41" t="s">
        <v>43</v>
      </c>
      <c r="AX31" s="42">
        <v>2528440002</v>
      </c>
      <c r="AY31" s="43">
        <v>0.39354314225853398</v>
      </c>
      <c r="AZ31" s="48">
        <v>51</v>
      </c>
      <c r="BA31" s="43">
        <v>0.24757281553398058</v>
      </c>
      <c r="BB31" s="11"/>
      <c r="BC31" s="11"/>
      <c r="BO31"/>
      <c r="BZ31" s="25"/>
      <c r="CA31" s="32"/>
      <c r="CB31" s="28"/>
      <c r="CC31" s="22"/>
      <c r="CD31" s="26"/>
      <c r="CE31" s="26"/>
      <c r="CN31" s="25"/>
      <c r="CO31" s="32"/>
      <c r="CP31" s="28"/>
      <c r="CQ31" s="22"/>
      <c r="CR31" s="26"/>
      <c r="CS31" s="26"/>
    </row>
    <row r="32" spans="1:97" x14ac:dyDescent="0.3">
      <c r="A32" s="41" t="s">
        <v>125</v>
      </c>
      <c r="B32" s="42">
        <v>26500000</v>
      </c>
      <c r="C32" s="43">
        <v>4.1246354517417384E-3</v>
      </c>
      <c r="D32" s="48">
        <v>1</v>
      </c>
      <c r="E32" s="43">
        <v>4.8543689320388345E-3</v>
      </c>
      <c r="F32" s="26"/>
      <c r="G32" s="41" t="s">
        <v>79</v>
      </c>
      <c r="H32" s="42">
        <v>4</v>
      </c>
      <c r="I32" s="43">
        <v>6.2258648328177182E-10</v>
      </c>
      <c r="J32" s="48">
        <v>2</v>
      </c>
      <c r="K32" s="43">
        <v>9.7087378640776691E-3</v>
      </c>
      <c r="M32" s="41" t="s">
        <v>47</v>
      </c>
      <c r="N32" s="42">
        <v>6424810219</v>
      </c>
      <c r="O32" s="43">
        <v>1</v>
      </c>
      <c r="P32" s="48">
        <v>206</v>
      </c>
      <c r="Q32" s="43">
        <v>1</v>
      </c>
      <c r="Y32" s="41" t="s">
        <v>106</v>
      </c>
      <c r="Z32" s="42">
        <v>122160000</v>
      </c>
      <c r="AA32" s="43">
        <v>1.9013791199425312E-2</v>
      </c>
      <c r="AB32" s="48">
        <v>1</v>
      </c>
      <c r="AC32" s="43">
        <v>4.8543689320388345E-3</v>
      </c>
      <c r="AF32"/>
      <c r="AJ32" s="25"/>
      <c r="AK32" s="32"/>
      <c r="AL32" s="28"/>
      <c r="AM32" s="22"/>
      <c r="AN32" s="26"/>
      <c r="AO32" s="26"/>
      <c r="AT32"/>
      <c r="AW32" s="41" t="s">
        <v>44</v>
      </c>
      <c r="AX32" s="42">
        <v>1636518099</v>
      </c>
      <c r="AY32" s="43">
        <v>0.25471851202084511</v>
      </c>
      <c r="AZ32" s="48">
        <v>75</v>
      </c>
      <c r="BA32" s="43">
        <v>0.36407766990291263</v>
      </c>
      <c r="BB32" s="6"/>
      <c r="BC32" s="6"/>
      <c r="BO32"/>
      <c r="BZ32" s="25"/>
      <c r="CA32" s="32"/>
      <c r="CB32" s="28"/>
      <c r="CC32" s="22"/>
      <c r="CD32" s="26"/>
      <c r="CE32" s="26"/>
      <c r="CN32" s="25"/>
      <c r="CO32" s="32"/>
      <c r="CP32" s="28"/>
      <c r="CQ32" s="22"/>
      <c r="CR32" s="26"/>
      <c r="CS32" s="26"/>
    </row>
    <row r="33" spans="1:97" x14ac:dyDescent="0.3">
      <c r="A33" s="41" t="s">
        <v>126</v>
      </c>
      <c r="B33" s="42">
        <v>16480000</v>
      </c>
      <c r="C33" s="43">
        <v>2.5650563111208999E-3</v>
      </c>
      <c r="D33" s="48">
        <v>3</v>
      </c>
      <c r="E33" s="43">
        <v>1.4563106796116505E-2</v>
      </c>
      <c r="F33" s="26"/>
      <c r="G33" s="41" t="s">
        <v>80</v>
      </c>
      <c r="H33" s="42">
        <v>2</v>
      </c>
      <c r="I33" s="43">
        <v>3.1129324164088591E-10</v>
      </c>
      <c r="J33" s="48">
        <v>1</v>
      </c>
      <c r="K33" s="43">
        <v>4.8543689320388345E-3</v>
      </c>
      <c r="Y33" s="41" t="s">
        <v>107</v>
      </c>
      <c r="Z33" s="42">
        <v>132200000</v>
      </c>
      <c r="AA33" s="43">
        <v>2.0576483272462559E-2</v>
      </c>
      <c r="AB33" s="48">
        <v>1</v>
      </c>
      <c r="AC33" s="43">
        <v>4.8543689320388345E-3</v>
      </c>
      <c r="AF33"/>
      <c r="AT33"/>
      <c r="AW33" s="41" t="s">
        <v>45</v>
      </c>
      <c r="AX33" s="42">
        <v>98071100</v>
      </c>
      <c r="AY33" s="43">
        <v>1.5264435315143743E-2</v>
      </c>
      <c r="AZ33" s="48">
        <v>8</v>
      </c>
      <c r="BA33" s="43">
        <v>3.8834951456310676E-2</v>
      </c>
      <c r="BB33" s="6"/>
      <c r="BC33" s="6"/>
      <c r="BO33"/>
      <c r="BZ33" s="25"/>
      <c r="CA33" s="32"/>
      <c r="CB33" s="28"/>
      <c r="CC33" s="22"/>
      <c r="CD33" s="26"/>
      <c r="CE33" s="26"/>
      <c r="CN33" s="25"/>
      <c r="CO33" s="32"/>
      <c r="CP33" s="28"/>
      <c r="CQ33" s="22"/>
      <c r="CR33" s="26"/>
      <c r="CS33" s="26"/>
    </row>
    <row r="34" spans="1:97" x14ac:dyDescent="0.3">
      <c r="A34" s="41" t="s">
        <v>47</v>
      </c>
      <c r="B34" s="42">
        <v>6424810219</v>
      </c>
      <c r="C34" s="43">
        <v>1</v>
      </c>
      <c r="D34" s="48">
        <v>206</v>
      </c>
      <c r="E34" s="43">
        <v>1</v>
      </c>
      <c r="F34" s="26"/>
      <c r="G34" s="41" t="s">
        <v>47</v>
      </c>
      <c r="H34" s="42">
        <v>6424810219</v>
      </c>
      <c r="I34" s="43">
        <v>1</v>
      </c>
      <c r="J34" s="48">
        <v>206</v>
      </c>
      <c r="K34" s="43">
        <v>1</v>
      </c>
      <c r="Y34" s="41" t="s">
        <v>108</v>
      </c>
      <c r="Z34" s="42">
        <v>599500000</v>
      </c>
      <c r="AA34" s="43">
        <v>9.331014918185554E-2</v>
      </c>
      <c r="AB34" s="48">
        <v>4</v>
      </c>
      <c r="AC34" s="43">
        <v>1.9417475728155338E-2</v>
      </c>
      <c r="AF34"/>
      <c r="AT34"/>
      <c r="AW34" s="41" t="s">
        <v>133</v>
      </c>
      <c r="AX34" s="42">
        <v>10000000</v>
      </c>
      <c r="AY34" s="43">
        <v>1.5564662082044294E-3</v>
      </c>
      <c r="AZ34" s="48">
        <v>1</v>
      </c>
      <c r="BA34" s="43">
        <v>4.8543689320388345E-3</v>
      </c>
      <c r="BB34" s="6"/>
      <c r="BC34" s="6"/>
      <c r="BO34"/>
      <c r="BZ34" s="25"/>
      <c r="CA34" s="32"/>
      <c r="CB34" s="28"/>
      <c r="CC34" s="22"/>
      <c r="CD34" s="26"/>
      <c r="CE34" s="26"/>
      <c r="CN34" s="25"/>
      <c r="CO34" s="32"/>
      <c r="CP34" s="28"/>
      <c r="CQ34" s="22"/>
      <c r="CR34" s="26"/>
      <c r="CS34" s="26"/>
    </row>
    <row r="35" spans="1:97" x14ac:dyDescent="0.3">
      <c r="D35"/>
      <c r="F35" s="26"/>
      <c r="J35"/>
      <c r="K35"/>
      <c r="Y35" s="41" t="s">
        <v>109</v>
      </c>
      <c r="Z35" s="42">
        <v>180000000</v>
      </c>
      <c r="AA35" s="43">
        <v>2.8016391747679729E-2</v>
      </c>
      <c r="AB35" s="48">
        <v>1</v>
      </c>
      <c r="AC35" s="43">
        <v>4.8543689320388345E-3</v>
      </c>
      <c r="AF35"/>
      <c r="AT35"/>
      <c r="AW35" s="41" t="s">
        <v>134</v>
      </c>
      <c r="AX35" s="42">
        <v>43500000</v>
      </c>
      <c r="AY35" s="43">
        <v>6.7706280056892684E-3</v>
      </c>
      <c r="AZ35" s="48">
        <v>3</v>
      </c>
      <c r="BA35" s="43">
        <v>1.4563106796116505E-2</v>
      </c>
      <c r="BB35" s="6"/>
      <c r="BC35" s="6"/>
      <c r="BO35"/>
      <c r="BZ35" s="25"/>
      <c r="CA35" s="32"/>
      <c r="CB35" s="28"/>
      <c r="CC35" s="22"/>
      <c r="CD35" s="26"/>
      <c r="CE35" s="26"/>
      <c r="CN35" s="25"/>
      <c r="CO35" s="32"/>
      <c r="CP35" s="28"/>
      <c r="CQ35" s="22"/>
      <c r="CR35" s="26"/>
      <c r="CS35" s="26"/>
    </row>
    <row r="36" spans="1:97" x14ac:dyDescent="0.3">
      <c r="D36"/>
      <c r="F36" s="26"/>
      <c r="J36"/>
      <c r="K36"/>
      <c r="Y36" s="41" t="s">
        <v>67</v>
      </c>
      <c r="Z36" s="42">
        <v>600000000</v>
      </c>
      <c r="AA36" s="43">
        <v>9.3387972492265769E-2</v>
      </c>
      <c r="AB36" s="48">
        <v>3</v>
      </c>
      <c r="AC36" s="43">
        <v>1.4563106796116505E-2</v>
      </c>
      <c r="AF36"/>
      <c r="AT36"/>
      <c r="AW36" s="41" t="s">
        <v>46</v>
      </c>
      <c r="AX36" s="42">
        <v>1000000</v>
      </c>
      <c r="AY36" s="43">
        <v>1.5564662082044294E-4</v>
      </c>
      <c r="AZ36" s="48">
        <v>1</v>
      </c>
      <c r="BA36" s="43">
        <v>4.8543689320388345E-3</v>
      </c>
      <c r="BB36" s="28"/>
      <c r="BC36" s="28"/>
      <c r="BO36"/>
      <c r="BZ36" s="25"/>
      <c r="CA36" s="32"/>
      <c r="CB36" s="28"/>
      <c r="CC36" s="22"/>
      <c r="CD36" s="26"/>
      <c r="CE36" s="26"/>
      <c r="CN36" s="25"/>
      <c r="CO36" s="32"/>
      <c r="CP36" s="28"/>
      <c r="CQ36" s="22"/>
      <c r="CR36" s="26"/>
      <c r="CS36" s="26"/>
    </row>
    <row r="37" spans="1:97" x14ac:dyDescent="0.3">
      <c r="D37"/>
      <c r="F37" s="26"/>
      <c r="J37"/>
      <c r="K37"/>
      <c r="Y37" s="41" t="s">
        <v>135</v>
      </c>
      <c r="Z37" s="42">
        <v>240000000</v>
      </c>
      <c r="AA37" s="43">
        <v>3.7355188996906305E-2</v>
      </c>
      <c r="AB37" s="48">
        <v>1</v>
      </c>
      <c r="AC37" s="43">
        <v>4.8543689320388345E-3</v>
      </c>
      <c r="AT37"/>
      <c r="AW37" s="41" t="s">
        <v>47</v>
      </c>
      <c r="AX37" s="42">
        <v>6424810219</v>
      </c>
      <c r="AY37" s="43">
        <v>1</v>
      </c>
      <c r="AZ37" s="48">
        <v>206</v>
      </c>
      <c r="BA37" s="43">
        <v>1</v>
      </c>
      <c r="BB37" s="25"/>
      <c r="BC37" s="25"/>
      <c r="BZ37" s="25"/>
      <c r="CA37" s="32"/>
      <c r="CB37" s="28"/>
      <c r="CC37" s="22"/>
      <c r="CD37" s="26"/>
      <c r="CE37" s="26"/>
      <c r="CN37" s="25"/>
      <c r="CO37" s="32"/>
      <c r="CP37" s="28"/>
      <c r="CQ37" s="22"/>
      <c r="CR37" s="26"/>
      <c r="CS37" s="26"/>
    </row>
    <row r="38" spans="1:97" x14ac:dyDescent="0.3">
      <c r="D38"/>
      <c r="F38" s="26"/>
      <c r="J38"/>
      <c r="K38"/>
      <c r="Y38" s="41" t="s">
        <v>136</v>
      </c>
      <c r="Z38" s="42">
        <v>250000000</v>
      </c>
      <c r="AA38" s="43">
        <v>3.8911655205110737E-2</v>
      </c>
      <c r="AB38" s="48">
        <v>1</v>
      </c>
      <c r="AC38" s="43">
        <v>4.8543689320388345E-3</v>
      </c>
      <c r="AT38"/>
      <c r="BA38"/>
      <c r="BB38" s="26"/>
      <c r="BC38" s="26"/>
      <c r="BZ38" s="25"/>
      <c r="CA38" s="32"/>
      <c r="CB38" s="28"/>
      <c r="CC38" s="22"/>
      <c r="CD38" s="26"/>
      <c r="CE38" s="26"/>
      <c r="CN38" s="25"/>
      <c r="CO38" s="32"/>
      <c r="CP38" s="28"/>
      <c r="CQ38" s="22"/>
      <c r="CR38" s="26"/>
      <c r="CS38" s="26"/>
    </row>
    <row r="39" spans="1:97" x14ac:dyDescent="0.3">
      <c r="D39"/>
      <c r="F39" s="26"/>
      <c r="J39"/>
      <c r="K39"/>
      <c r="Y39" s="41" t="s">
        <v>47</v>
      </c>
      <c r="Z39" s="42">
        <v>6424810219</v>
      </c>
      <c r="AA39" s="43">
        <v>1</v>
      </c>
      <c r="AB39" s="48">
        <v>206</v>
      </c>
      <c r="AC39" s="43">
        <v>1</v>
      </c>
      <c r="AT39"/>
      <c r="BA39"/>
      <c r="BB39" s="26"/>
      <c r="BC39" s="26"/>
      <c r="BZ39" s="25"/>
      <c r="CA39" s="32"/>
      <c r="CB39" s="28"/>
      <c r="CC39" s="22"/>
      <c r="CD39" s="26"/>
      <c r="CE39" s="26"/>
      <c r="CN39" s="25"/>
      <c r="CO39" s="32"/>
      <c r="CP39" s="28"/>
      <c r="CQ39" s="22"/>
      <c r="CR39" s="26"/>
      <c r="CS39" s="26"/>
    </row>
    <row r="40" spans="1:97" x14ac:dyDescent="0.3">
      <c r="D40"/>
      <c r="F40" s="26"/>
      <c r="J40"/>
      <c r="K40"/>
      <c r="Y40"/>
      <c r="BA40"/>
      <c r="BB40" s="26"/>
      <c r="BC40" s="26"/>
      <c r="CN40" s="25"/>
      <c r="CO40" s="32"/>
      <c r="CP40" s="28"/>
      <c r="CQ40" s="22"/>
      <c r="CR40" s="26"/>
      <c r="CS40" s="26"/>
    </row>
    <row r="41" spans="1:97" x14ac:dyDescent="0.3">
      <c r="D41"/>
      <c r="F41" s="26"/>
      <c r="Y41"/>
      <c r="BA41"/>
      <c r="BB41" s="26"/>
      <c r="BC41" s="26"/>
      <c r="BL41" s="21"/>
      <c r="BM41" s="20"/>
      <c r="BN41" s="6"/>
      <c r="BO41" s="22"/>
      <c r="BP41" s="6"/>
      <c r="BQ41" s="6"/>
      <c r="CN41" s="25"/>
      <c r="CO41" s="32"/>
      <c r="CP41" s="28"/>
      <c r="CQ41" s="22"/>
      <c r="CR41" s="26"/>
      <c r="CS41" s="26"/>
    </row>
    <row r="42" spans="1:97" x14ac:dyDescent="0.3">
      <c r="D42"/>
      <c r="F42" s="26"/>
      <c r="Y42"/>
      <c r="BA42"/>
      <c r="BB42" s="26"/>
      <c r="BC42" s="26"/>
      <c r="BL42" s="21"/>
      <c r="BM42" s="23"/>
      <c r="BN42" s="6"/>
      <c r="BO42" s="22"/>
      <c r="BP42" s="6"/>
      <c r="BQ42" s="6"/>
      <c r="CN42" s="25"/>
      <c r="CO42" s="32"/>
      <c r="CP42" s="28"/>
      <c r="CQ42" s="22"/>
      <c r="CR42" s="26"/>
      <c r="CS42" s="26"/>
    </row>
    <row r="43" spans="1:97" x14ac:dyDescent="0.3">
      <c r="D43"/>
      <c r="F43" s="26"/>
      <c r="Y43"/>
      <c r="BA43"/>
      <c r="BL43" s="21"/>
      <c r="BM43" s="23"/>
      <c r="BN43" s="6"/>
      <c r="BO43" s="22"/>
      <c r="BP43" s="6"/>
      <c r="BQ43" s="6"/>
      <c r="CN43" s="25"/>
      <c r="CO43" s="32"/>
      <c r="CP43" s="28"/>
      <c r="CQ43" s="22"/>
      <c r="CR43" s="26"/>
      <c r="CS43" s="26"/>
    </row>
    <row r="44" spans="1:97" x14ac:dyDescent="0.3">
      <c r="D44"/>
      <c r="F44" s="26"/>
      <c r="Y44"/>
      <c r="BA44"/>
      <c r="BB44" s="14"/>
      <c r="BC44" s="14"/>
      <c r="BL44" s="21"/>
      <c r="BM44" s="20"/>
      <c r="BN44" s="6"/>
      <c r="BO44" s="22"/>
      <c r="BP44" s="6"/>
      <c r="BQ44" s="6"/>
      <c r="CN44" s="25"/>
      <c r="CO44" s="32"/>
      <c r="CP44" s="28"/>
      <c r="CQ44" s="22"/>
      <c r="CR44" s="26"/>
      <c r="CS44" s="26"/>
    </row>
    <row r="45" spans="1:97" x14ac:dyDescent="0.3">
      <c r="D45"/>
      <c r="F45" s="26"/>
      <c r="Y45"/>
      <c r="BA45"/>
      <c r="BB45" s="14"/>
      <c r="BC45" s="14"/>
      <c r="BL45" s="6"/>
      <c r="BM45" s="8"/>
      <c r="BN45" s="6"/>
      <c r="BO45" s="22"/>
      <c r="BP45" s="6"/>
      <c r="BQ45" s="6"/>
      <c r="CN45" s="25"/>
      <c r="CO45" s="32"/>
      <c r="CP45" s="28"/>
      <c r="CQ45" s="22"/>
      <c r="CR45" s="26"/>
      <c r="CS45" s="26"/>
    </row>
    <row r="46" spans="1:97" x14ac:dyDescent="0.3">
      <c r="D46"/>
      <c r="F46" s="26"/>
      <c r="Y46"/>
      <c r="BA46"/>
      <c r="BB46" s="14"/>
      <c r="BC46" s="14"/>
      <c r="BL46" s="20"/>
      <c r="BM46" s="29"/>
      <c r="BN46" s="28"/>
      <c r="BO46" s="28"/>
      <c r="BP46" s="28"/>
      <c r="BQ46" s="28"/>
      <c r="CN46" s="25"/>
      <c r="CO46" s="32"/>
      <c r="CP46" s="28"/>
      <c r="CQ46" s="22"/>
      <c r="CR46" s="26"/>
      <c r="CS46" s="26"/>
    </row>
    <row r="47" spans="1:97" x14ac:dyDescent="0.3">
      <c r="D47"/>
      <c r="F47" s="26"/>
      <c r="Y47"/>
      <c r="BA47"/>
      <c r="BB47" s="11"/>
      <c r="BC47" s="11"/>
      <c r="BL47" s="20"/>
      <c r="BM47" s="29"/>
      <c r="BN47" s="25"/>
      <c r="BO47" s="28"/>
      <c r="BP47" s="25"/>
      <c r="BQ47" s="25"/>
      <c r="CN47" s="25"/>
      <c r="CO47" s="32"/>
      <c r="CP47" s="28"/>
      <c r="CQ47" s="22"/>
      <c r="CR47" s="26"/>
      <c r="CS47" s="26"/>
    </row>
    <row r="48" spans="1:97" x14ac:dyDescent="0.3">
      <c r="D48"/>
      <c r="Y48"/>
      <c r="BA48"/>
      <c r="BL48" s="25"/>
      <c r="BM48" s="32"/>
      <c r="BN48" s="28"/>
      <c r="BO48" s="22"/>
      <c r="BP48" s="26"/>
      <c r="BQ48" s="26"/>
      <c r="BZ48" s="13"/>
      <c r="CG48" s="21"/>
      <c r="CH48" s="20"/>
      <c r="CN48" s="25"/>
      <c r="CO48" s="32"/>
      <c r="CP48" s="28"/>
      <c r="CQ48" s="22"/>
      <c r="CR48" s="26"/>
      <c r="CS48" s="26"/>
    </row>
    <row r="49" spans="25:97" x14ac:dyDescent="0.3">
      <c r="Y49"/>
      <c r="BA49"/>
      <c r="BB49" s="2"/>
      <c r="BC49" s="2"/>
      <c r="BL49" s="30"/>
      <c r="BM49" s="32"/>
      <c r="BN49" s="28"/>
      <c r="BO49" s="22"/>
      <c r="BP49" s="26"/>
      <c r="BQ49" s="26"/>
      <c r="BZ49" s="21"/>
      <c r="CA49" s="20"/>
      <c r="CG49" s="21"/>
      <c r="CH49" s="20"/>
      <c r="CN49" s="25"/>
      <c r="CO49" s="32"/>
      <c r="CP49" s="28"/>
      <c r="CQ49" s="22"/>
      <c r="CR49" s="26"/>
      <c r="CS49" s="26"/>
    </row>
    <row r="50" spans="25:97" x14ac:dyDescent="0.3">
      <c r="Y50"/>
      <c r="BA50"/>
      <c r="BB50" s="2"/>
      <c r="BC50" s="2"/>
      <c r="BL50" s="30"/>
      <c r="BM50" s="32"/>
      <c r="BN50" s="28"/>
      <c r="BO50" s="22"/>
      <c r="BP50" s="26"/>
      <c r="BQ50" s="26"/>
      <c r="BZ50" s="21"/>
      <c r="CA50" s="20"/>
      <c r="CG50" s="21"/>
      <c r="CH50" s="20"/>
      <c r="CN50" s="25"/>
      <c r="CO50" s="32"/>
      <c r="CP50" s="28"/>
      <c r="CQ50" s="22"/>
      <c r="CR50" s="26"/>
      <c r="CS50" s="26"/>
    </row>
    <row r="51" spans="25:97" x14ac:dyDescent="0.3">
      <c r="Y51"/>
      <c r="BA51"/>
      <c r="BB51" s="2"/>
      <c r="BC51" s="2"/>
      <c r="BL51" s="30"/>
      <c r="BM51" s="32"/>
      <c r="BN51" s="28"/>
      <c r="BO51" s="22"/>
      <c r="BP51" s="26"/>
      <c r="BQ51" s="26"/>
      <c r="BZ51" s="21"/>
      <c r="CA51" s="20"/>
      <c r="CG51" s="21"/>
      <c r="CH51" s="20"/>
      <c r="CN51" s="25"/>
      <c r="CO51" s="32"/>
      <c r="CP51" s="28"/>
      <c r="CQ51" s="22"/>
      <c r="CR51" s="26"/>
      <c r="CS51" s="26"/>
    </row>
    <row r="52" spans="25:97" x14ac:dyDescent="0.3">
      <c r="Y52"/>
      <c r="BA52"/>
      <c r="BB52" s="11"/>
      <c r="BC52" s="11"/>
      <c r="BL52" s="30"/>
      <c r="BM52" s="32"/>
      <c r="BN52" s="28"/>
      <c r="BO52" s="22"/>
      <c r="BP52" s="26"/>
      <c r="BQ52" s="26"/>
      <c r="BZ52" s="21"/>
      <c r="CA52" s="20"/>
      <c r="CG52" s="21"/>
      <c r="CH52" s="20"/>
      <c r="CN52" s="25"/>
      <c r="CO52" s="32"/>
      <c r="CP52" s="28"/>
      <c r="CQ52" s="22"/>
      <c r="CR52" s="26"/>
      <c r="CS52" s="26"/>
    </row>
    <row r="53" spans="25:97" x14ac:dyDescent="0.3">
      <c r="Y53"/>
      <c r="BA53"/>
      <c r="BB53" s="25"/>
      <c r="BC53" s="25"/>
      <c r="BL53" s="30"/>
      <c r="BM53" s="32"/>
      <c r="BN53" s="28"/>
      <c r="BO53" s="22"/>
      <c r="BP53" s="26"/>
      <c r="BQ53" s="26"/>
      <c r="CN53" s="25"/>
      <c r="CO53" s="32"/>
      <c r="CP53" s="28"/>
      <c r="CQ53" s="22"/>
      <c r="CR53" s="26"/>
      <c r="CS53" s="26"/>
    </row>
    <row r="54" spans="25:97" x14ac:dyDescent="0.3">
      <c r="BA54"/>
      <c r="BB54" s="26"/>
      <c r="BC54" s="26"/>
      <c r="BL54" s="30"/>
      <c r="BM54" s="32"/>
      <c r="BN54" s="28"/>
      <c r="BO54" s="22"/>
      <c r="BP54" s="26"/>
      <c r="BQ54" s="26"/>
      <c r="BZ54" s="34"/>
      <c r="CA54" s="25"/>
      <c r="CB54" s="28"/>
      <c r="CC54" s="28"/>
      <c r="CD54" s="25"/>
      <c r="CE54" s="25"/>
      <c r="CG54" s="34"/>
      <c r="CH54" s="25"/>
      <c r="CI54" s="28"/>
      <c r="CJ54" s="28"/>
      <c r="CK54" s="25"/>
      <c r="CL54" s="25"/>
      <c r="CN54" s="25"/>
      <c r="CO54" s="32"/>
      <c r="CP54" s="28"/>
      <c r="CQ54" s="22"/>
      <c r="CR54" s="26"/>
      <c r="CS54" s="26"/>
    </row>
    <row r="55" spans="25:97" x14ac:dyDescent="0.3">
      <c r="BA55"/>
      <c r="BB55" s="26"/>
      <c r="BC55" s="26"/>
      <c r="BL55" s="30"/>
      <c r="BM55" s="32"/>
      <c r="BN55" s="28"/>
      <c r="BO55" s="22"/>
      <c r="BP55" s="26"/>
      <c r="BQ55" s="26"/>
      <c r="BZ55" s="25"/>
      <c r="CA55" s="32"/>
      <c r="CB55" s="28"/>
      <c r="CC55" s="28"/>
      <c r="CD55" s="35"/>
      <c r="CE55" s="35"/>
      <c r="CG55" s="25"/>
      <c r="CH55" s="27"/>
      <c r="CI55" s="22"/>
      <c r="CJ55" s="22"/>
      <c r="CK55" s="26"/>
      <c r="CL55" s="26"/>
      <c r="CN55" s="25"/>
      <c r="CO55" s="32"/>
      <c r="CP55" s="28"/>
      <c r="CQ55" s="22"/>
      <c r="CR55" s="26"/>
      <c r="CS55" s="26"/>
    </row>
    <row r="56" spans="25:97" x14ac:dyDescent="0.3">
      <c r="BA56"/>
      <c r="BB56" s="26"/>
      <c r="BC56" s="26"/>
      <c r="BL56" s="30"/>
      <c r="BM56" s="32"/>
      <c r="BN56" s="28"/>
      <c r="BO56" s="22"/>
      <c r="BP56" s="26"/>
      <c r="BQ56" s="26"/>
      <c r="BZ56" s="25"/>
      <c r="CA56" s="32"/>
      <c r="CB56" s="28"/>
      <c r="CC56" s="28"/>
      <c r="CD56" s="35"/>
      <c r="CE56" s="35"/>
      <c r="CG56" s="25"/>
      <c r="CH56" s="27"/>
      <c r="CI56" s="22"/>
      <c r="CJ56" s="22"/>
      <c r="CK56" s="26"/>
      <c r="CL56" s="26"/>
      <c r="CN56" s="25"/>
      <c r="CO56" s="32"/>
      <c r="CP56" s="28"/>
      <c r="CQ56" s="22"/>
      <c r="CR56" s="26"/>
      <c r="CS56" s="26"/>
    </row>
    <row r="57" spans="25:97" x14ac:dyDescent="0.3">
      <c r="BA57"/>
      <c r="BB57" s="26"/>
      <c r="BC57" s="26"/>
      <c r="BL57" s="30"/>
      <c r="BM57" s="32"/>
      <c r="BN57" s="28"/>
      <c r="BO57" s="22"/>
      <c r="BP57" s="26"/>
      <c r="BQ57" s="26"/>
      <c r="BZ57" s="25"/>
      <c r="CA57" s="32"/>
      <c r="CB57" s="28"/>
      <c r="CC57" s="28"/>
      <c r="CD57" s="35"/>
      <c r="CE57" s="35"/>
      <c r="CG57" s="25"/>
      <c r="CH57" s="27"/>
      <c r="CI57" s="22"/>
      <c r="CJ57" s="22"/>
      <c r="CK57" s="26"/>
      <c r="CL57" s="26"/>
      <c r="CN57" s="25"/>
      <c r="CO57" s="32"/>
      <c r="CP57" s="28"/>
      <c r="CQ57" s="22"/>
      <c r="CR57" s="26"/>
      <c r="CS57" s="26"/>
    </row>
    <row r="58" spans="25:97" x14ac:dyDescent="0.3">
      <c r="BA58"/>
      <c r="BB58" s="26"/>
      <c r="BC58" s="26"/>
      <c r="BL58" s="30"/>
      <c r="BM58" s="32"/>
      <c r="BN58" s="28"/>
      <c r="BO58" s="22"/>
      <c r="BP58" s="26"/>
      <c r="BQ58" s="26"/>
      <c r="BZ58" s="25"/>
      <c r="CA58" s="32"/>
      <c r="CB58" s="28"/>
      <c r="CC58" s="28"/>
      <c r="CD58" s="35"/>
      <c r="CE58" s="35"/>
      <c r="CG58" s="25"/>
      <c r="CH58" s="27"/>
      <c r="CI58" s="22"/>
      <c r="CJ58" s="22"/>
      <c r="CK58" s="26"/>
      <c r="CL58" s="26"/>
      <c r="CN58" s="25"/>
      <c r="CO58" s="32"/>
      <c r="CP58" s="28"/>
      <c r="CQ58" s="22"/>
      <c r="CR58" s="26"/>
      <c r="CS58" s="26"/>
    </row>
    <row r="59" spans="25:97" x14ac:dyDescent="0.3">
      <c r="BA59"/>
      <c r="BL59" s="30"/>
      <c r="BM59" s="32"/>
      <c r="BN59" s="28"/>
      <c r="BO59" s="22"/>
      <c r="BP59" s="26"/>
      <c r="BQ59" s="26"/>
      <c r="BZ59" s="25"/>
      <c r="CA59" s="32"/>
      <c r="CB59" s="28"/>
      <c r="CC59" s="28"/>
      <c r="CD59" s="35"/>
      <c r="CE59" s="35"/>
      <c r="CG59" s="25"/>
      <c r="CH59" s="27"/>
      <c r="CI59" s="22"/>
      <c r="CJ59" s="22"/>
      <c r="CK59" s="26"/>
      <c r="CL59" s="26"/>
      <c r="CN59" s="25"/>
      <c r="CO59" s="32"/>
      <c r="CP59" s="28"/>
      <c r="CQ59" s="22"/>
      <c r="CR59" s="26"/>
      <c r="CS59" s="26"/>
    </row>
    <row r="60" spans="25:97" x14ac:dyDescent="0.3">
      <c r="BA60"/>
      <c r="BB60" s="11"/>
      <c r="BC60" s="11"/>
      <c r="BL60" s="30"/>
      <c r="BM60" s="32"/>
      <c r="BN60" s="28"/>
      <c r="BO60" s="22"/>
      <c r="BP60" s="26"/>
      <c r="BQ60" s="26"/>
      <c r="BZ60" s="25"/>
      <c r="CA60" s="32"/>
      <c r="CB60" s="28"/>
      <c r="CC60" s="28"/>
      <c r="CD60" s="35"/>
      <c r="CE60" s="35"/>
      <c r="CG60" s="25"/>
      <c r="CH60" s="27"/>
      <c r="CI60" s="22"/>
      <c r="CJ60" s="22"/>
      <c r="CK60" s="26"/>
      <c r="CL60" s="26"/>
      <c r="CN60" s="25"/>
      <c r="CO60" s="32"/>
      <c r="CP60" s="28"/>
      <c r="CQ60" s="22"/>
      <c r="CR60" s="26"/>
      <c r="CS60" s="26"/>
    </row>
    <row r="61" spans="25:97" x14ac:dyDescent="0.3">
      <c r="BA61"/>
      <c r="BB61" s="6"/>
      <c r="BC61" s="6"/>
      <c r="BL61" s="30"/>
      <c r="BM61" s="32"/>
      <c r="BN61" s="28"/>
      <c r="BO61" s="22"/>
      <c r="BP61" s="26"/>
      <c r="BQ61" s="26"/>
      <c r="BZ61" s="25"/>
      <c r="CA61" s="32"/>
      <c r="CB61" s="28"/>
      <c r="CC61" s="28"/>
      <c r="CD61" s="35"/>
      <c r="CE61" s="35"/>
      <c r="CG61" s="25"/>
      <c r="CH61" s="27"/>
      <c r="CI61" s="22"/>
      <c r="CJ61" s="22"/>
      <c r="CK61" s="26"/>
      <c r="CL61" s="26"/>
      <c r="CN61" s="25"/>
      <c r="CO61" s="32"/>
      <c r="CP61" s="28"/>
      <c r="CQ61" s="22"/>
      <c r="CR61" s="26"/>
      <c r="CS61" s="26"/>
    </row>
    <row r="62" spans="25:97" x14ac:dyDescent="0.3">
      <c r="BA62"/>
      <c r="BB62" s="6"/>
      <c r="BC62" s="6"/>
      <c r="BL62" s="30"/>
      <c r="BM62" s="32"/>
      <c r="BN62" s="28"/>
      <c r="BO62" s="22"/>
      <c r="BP62" s="26"/>
      <c r="BQ62" s="26"/>
      <c r="BZ62" s="25"/>
      <c r="CA62" s="32"/>
      <c r="CB62" s="28"/>
      <c r="CC62" s="28"/>
      <c r="CD62" s="35"/>
      <c r="CE62" s="35"/>
      <c r="CG62" s="25"/>
      <c r="CH62" s="27"/>
      <c r="CI62" s="22"/>
      <c r="CJ62" s="22"/>
      <c r="CK62" s="26"/>
      <c r="CL62" s="26"/>
      <c r="CN62" s="25"/>
      <c r="CO62" s="32"/>
      <c r="CP62" s="28"/>
      <c r="CQ62" s="22"/>
      <c r="CR62" s="26"/>
      <c r="CS62" s="26"/>
    </row>
    <row r="63" spans="25:97" x14ac:dyDescent="0.3">
      <c r="BA63"/>
      <c r="BB63" s="11"/>
      <c r="BC63" s="11"/>
      <c r="BL63" s="30"/>
      <c r="BM63" s="32"/>
      <c r="BN63" s="28"/>
      <c r="BO63" s="22"/>
      <c r="BP63" s="26"/>
      <c r="BQ63" s="26"/>
      <c r="BZ63" s="25"/>
      <c r="CA63" s="32"/>
      <c r="CB63" s="28"/>
      <c r="CC63" s="28"/>
      <c r="CD63" s="35"/>
      <c r="CE63" s="35"/>
      <c r="CG63" s="25"/>
      <c r="CH63" s="27"/>
      <c r="CI63" s="22"/>
      <c r="CJ63" s="22"/>
      <c r="CK63" s="26"/>
      <c r="CL63" s="26"/>
      <c r="CN63" s="25"/>
      <c r="CO63" s="32"/>
      <c r="CP63" s="28"/>
      <c r="CQ63" s="22"/>
      <c r="CR63" s="26"/>
      <c r="CS63" s="26"/>
    </row>
    <row r="64" spans="25:97" x14ac:dyDescent="0.3">
      <c r="BA64"/>
      <c r="BB64" s="11"/>
      <c r="BC64" s="11"/>
      <c r="BL64" s="30"/>
      <c r="BM64" s="32"/>
      <c r="BN64" s="28"/>
      <c r="BO64" s="22"/>
      <c r="BP64" s="26"/>
      <c r="BQ64" s="26"/>
      <c r="BZ64" s="25"/>
      <c r="CA64" s="32"/>
      <c r="CB64" s="28"/>
      <c r="CC64" s="28"/>
      <c r="CD64" s="35"/>
      <c r="CE64" s="35"/>
      <c r="CJ64"/>
      <c r="CN64" s="25"/>
      <c r="CO64" s="32"/>
      <c r="CP64" s="28"/>
      <c r="CQ64" s="22"/>
      <c r="CR64" s="26"/>
      <c r="CS64" s="26"/>
    </row>
    <row r="65" spans="50:97" x14ac:dyDescent="0.3">
      <c r="BA65"/>
      <c r="BB65" s="6"/>
      <c r="BC65" s="6"/>
      <c r="BL65" s="30"/>
      <c r="BM65" s="32"/>
      <c r="BN65" s="28"/>
      <c r="BO65" s="22"/>
      <c r="BP65" s="26"/>
      <c r="BQ65" s="26"/>
      <c r="BZ65" s="25"/>
      <c r="CA65" s="32"/>
      <c r="CB65" s="28"/>
      <c r="CC65" s="28"/>
      <c r="CD65" s="35"/>
      <c r="CE65" s="35"/>
      <c r="CJ65"/>
      <c r="CN65" s="25"/>
      <c r="CO65" s="32"/>
      <c r="CP65" s="28"/>
      <c r="CQ65" s="22"/>
      <c r="CR65" s="26"/>
      <c r="CS65" s="26"/>
    </row>
    <row r="66" spans="50:97" x14ac:dyDescent="0.3">
      <c r="AX66" s="21"/>
      <c r="AY66" s="20"/>
      <c r="AZ66" s="6"/>
      <c r="BA66" s="22"/>
      <c r="BB66" s="6"/>
      <c r="BC66" s="6"/>
      <c r="BL66" s="25"/>
      <c r="BM66" s="32"/>
      <c r="BN66" s="28"/>
      <c r="BO66" s="22"/>
      <c r="BP66" s="26"/>
      <c r="BQ66" s="26"/>
      <c r="CJ66"/>
      <c r="CN66" s="25"/>
      <c r="CO66" s="32"/>
      <c r="CP66" s="28"/>
      <c r="CQ66" s="22"/>
      <c r="CR66" s="26"/>
      <c r="CS66" s="26"/>
    </row>
    <row r="67" spans="50:97" x14ac:dyDescent="0.3">
      <c r="AX67" s="21"/>
      <c r="AY67" s="20"/>
      <c r="AZ67" s="6"/>
      <c r="BA67" s="22"/>
      <c r="BB67" s="6"/>
      <c r="BC67" s="6"/>
      <c r="CJ67"/>
      <c r="CN67" s="25"/>
      <c r="CO67" s="32"/>
      <c r="CP67" s="28"/>
      <c r="CQ67" s="22"/>
      <c r="CR67" s="26"/>
      <c r="CS67" s="26"/>
    </row>
    <row r="68" spans="50:97" x14ac:dyDescent="0.3">
      <c r="AX68" s="6"/>
      <c r="AY68" s="6"/>
      <c r="AZ68" s="6"/>
      <c r="BA68" s="22"/>
      <c r="BB68" s="6"/>
      <c r="BC68" s="6"/>
      <c r="CN68" s="25"/>
      <c r="CO68" s="32"/>
      <c r="CP68" s="28"/>
      <c r="CQ68" s="22"/>
      <c r="CR68" s="26"/>
      <c r="CS68" s="26"/>
    </row>
    <row r="69" spans="50:97" x14ac:dyDescent="0.3">
      <c r="AX69" s="20"/>
      <c r="AY69" s="25"/>
      <c r="AZ69" s="25"/>
      <c r="BA69" s="25"/>
      <c r="BB69" s="25"/>
      <c r="BC69" s="25"/>
      <c r="CN69" s="25"/>
      <c r="CO69" s="32"/>
      <c r="CP69" s="28"/>
      <c r="CQ69" s="22"/>
      <c r="CR69" s="26"/>
      <c r="CS69" s="26"/>
    </row>
    <row r="70" spans="50:97" x14ac:dyDescent="0.3">
      <c r="AX70" s="20"/>
      <c r="AY70" s="25"/>
      <c r="AZ70" s="25"/>
      <c r="BA70" s="25"/>
      <c r="BB70" s="25"/>
      <c r="BC70" s="25"/>
      <c r="CN70" s="25"/>
      <c r="CO70" s="32"/>
      <c r="CP70" s="28"/>
      <c r="CQ70" s="22"/>
      <c r="CR70" s="26"/>
      <c r="CS70" s="26"/>
    </row>
    <row r="71" spans="50:97" x14ac:dyDescent="0.3">
      <c r="AX71" s="25"/>
      <c r="AY71" s="27"/>
      <c r="AZ71" s="22"/>
      <c r="BA71" s="27"/>
      <c r="BB71" s="26"/>
      <c r="BC71" s="26"/>
    </row>
    <row r="72" spans="50:97" x14ac:dyDescent="0.3">
      <c r="AX72" s="25"/>
      <c r="AY72" s="27"/>
      <c r="AZ72" s="22"/>
      <c r="BA72" s="27"/>
      <c r="BB72" s="26"/>
      <c r="BC72" s="26"/>
    </row>
    <row r="73" spans="50:97" x14ac:dyDescent="0.3">
      <c r="AX73" s="25"/>
      <c r="AY73" s="27"/>
      <c r="AZ73" s="22"/>
      <c r="BA73" s="27"/>
      <c r="BB73" s="26"/>
      <c r="BC73" s="26"/>
    </row>
    <row r="74" spans="50:97" x14ac:dyDescent="0.3">
      <c r="AX74" s="6"/>
      <c r="AY74" s="6"/>
      <c r="AZ74" s="6"/>
      <c r="BA74" s="22"/>
      <c r="BB74" s="6"/>
      <c r="BC74" s="6"/>
    </row>
    <row r="75" spans="50:97" x14ac:dyDescent="0.3">
      <c r="AX75" s="6"/>
      <c r="AY75" s="6"/>
      <c r="AZ75" s="6"/>
      <c r="BA75" s="22"/>
      <c r="BB75" s="6"/>
      <c r="BC75" s="6"/>
    </row>
    <row r="76" spans="50:97" x14ac:dyDescent="0.3">
      <c r="AX76" s="6"/>
      <c r="AY76" s="6"/>
      <c r="AZ76" s="6"/>
      <c r="BA76" s="22"/>
      <c r="BB76" s="6"/>
      <c r="BC76" s="6"/>
    </row>
    <row r="77" spans="50:97" x14ac:dyDescent="0.3">
      <c r="AX77" s="13"/>
      <c r="AY77" s="10"/>
      <c r="AZ77" s="11"/>
      <c r="BA77" s="12"/>
      <c r="BB77" s="11"/>
      <c r="BC77" s="11"/>
    </row>
    <row r="78" spans="50:97" x14ac:dyDescent="0.3">
      <c r="AX78" s="21"/>
      <c r="AY78" s="20"/>
      <c r="AZ78" s="11"/>
      <c r="BA78" s="12"/>
      <c r="BB78" s="11"/>
      <c r="BC78" s="11"/>
    </row>
    <row r="79" spans="50:97" x14ac:dyDescent="0.3">
      <c r="AX79" s="21"/>
      <c r="AY79" s="23"/>
      <c r="AZ79" s="6"/>
      <c r="BA79" s="22"/>
      <c r="BB79" s="6"/>
      <c r="BC79" s="6"/>
    </row>
    <row r="80" spans="50:97" x14ac:dyDescent="0.3">
      <c r="AX80" s="21"/>
      <c r="AY80" s="23"/>
      <c r="AZ80" s="6"/>
      <c r="BA80" s="22"/>
      <c r="BB80" s="6"/>
      <c r="BC80" s="6"/>
    </row>
    <row r="81" spans="50:55" x14ac:dyDescent="0.3">
      <c r="AX81" s="21"/>
      <c r="AY81" s="20"/>
      <c r="AZ81" s="6"/>
      <c r="BA81" s="22"/>
      <c r="BB81" s="6"/>
      <c r="BC81" s="6"/>
    </row>
    <row r="82" spans="50:55" x14ac:dyDescent="0.3">
      <c r="AX82" s="6"/>
      <c r="AY82" s="6"/>
      <c r="AZ82" s="6"/>
      <c r="BA82" s="22"/>
      <c r="BB82" s="6"/>
      <c r="BC82" s="6"/>
    </row>
    <row r="83" spans="50:55" x14ac:dyDescent="0.3">
      <c r="AX83" s="20"/>
      <c r="AY83" s="29"/>
      <c r="AZ83" s="28"/>
      <c r="BA83" s="28"/>
      <c r="BB83" s="28"/>
      <c r="BC83" s="28"/>
    </row>
    <row r="84" spans="50:55" x14ac:dyDescent="0.3">
      <c r="AX84" s="20"/>
      <c r="AY84" s="29"/>
      <c r="AZ84" s="25"/>
      <c r="BA84" s="28"/>
      <c r="BB84" s="25"/>
      <c r="BC84" s="25"/>
    </row>
    <row r="85" spans="50:55" x14ac:dyDescent="0.3">
      <c r="AX85" s="25"/>
      <c r="AY85" s="32"/>
      <c r="AZ85" s="28"/>
      <c r="BA85" s="22"/>
      <c r="BB85" s="26"/>
      <c r="BC85" s="26"/>
    </row>
    <row r="86" spans="50:55" x14ac:dyDescent="0.3">
      <c r="AX86" s="25"/>
      <c r="AY86" s="32"/>
      <c r="AZ86" s="28"/>
      <c r="BA86" s="22"/>
      <c r="BB86" s="26"/>
      <c r="BC86" s="26"/>
    </row>
    <row r="87" spans="50:55" x14ac:dyDescent="0.3">
      <c r="AX87" s="25"/>
      <c r="AY87" s="32"/>
      <c r="AZ87" s="28"/>
      <c r="BA87" s="22"/>
      <c r="BB87" s="26"/>
      <c r="BC87" s="26"/>
    </row>
    <row r="88" spans="50:55" x14ac:dyDescent="0.3">
      <c r="AX88" s="25"/>
      <c r="AY88" s="32"/>
      <c r="AZ88" s="28"/>
      <c r="BA88" s="22"/>
      <c r="BB88" s="26"/>
      <c r="BC88" s="26"/>
    </row>
    <row r="89" spans="50:55" x14ac:dyDescent="0.3">
      <c r="AX89" s="25"/>
      <c r="AY89" s="32"/>
      <c r="AZ89" s="28"/>
      <c r="BA89" s="22"/>
      <c r="BB89" s="26"/>
      <c r="BC89" s="26"/>
    </row>
    <row r="90" spans="50:55" x14ac:dyDescent="0.3">
      <c r="AX90" s="25"/>
      <c r="AY90" s="32"/>
      <c r="AZ90" s="28"/>
      <c r="BA90" s="22"/>
      <c r="BB90" s="26"/>
      <c r="BC90" s="26"/>
    </row>
    <row r="91" spans="50:55" x14ac:dyDescent="0.3">
      <c r="AX91" s="25"/>
      <c r="AY91" s="32"/>
      <c r="AZ91" s="28"/>
      <c r="BA91" s="22"/>
      <c r="BB91" s="26"/>
      <c r="BC91" s="26"/>
    </row>
    <row r="92" spans="50:55" x14ac:dyDescent="0.3">
      <c r="AX92" s="25"/>
      <c r="AY92" s="32"/>
      <c r="AZ92" s="28"/>
      <c r="BA92" s="22"/>
      <c r="BB92" s="26"/>
      <c r="BC92" s="26"/>
    </row>
    <row r="93" spans="50:55" x14ac:dyDescent="0.3">
      <c r="AX93" s="25"/>
      <c r="AY93" s="32"/>
      <c r="AZ93" s="28"/>
      <c r="BA93" s="22"/>
      <c r="BB93" s="26"/>
      <c r="BC93" s="26"/>
    </row>
  </sheetData>
  <pageMargins left="0.7" right="0.7" top="0.75" bottom="0.75" header="0.3" footer="0.3"/>
  <pageSetup paperSize="9" orientation="portrait" r:id="rId10"/>
  <drawing r:id="rId1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tabSelected="1" workbookViewId="0">
      <selection activeCell="J6" sqref="J6"/>
    </sheetView>
  </sheetViews>
  <sheetFormatPr defaultColWidth="9.109375" defaultRowHeight="13.8" x14ac:dyDescent="0.3"/>
  <cols>
    <col min="1" max="1" width="31.44140625" style="6" customWidth="1"/>
    <col min="2" max="2" width="14" style="6" bestFit="1" customWidth="1"/>
    <col min="3" max="3" width="23.33203125" style="6" customWidth="1"/>
    <col min="4" max="5" width="5.21875" style="6" customWidth="1"/>
    <col min="6" max="6" width="14" style="6" bestFit="1" customWidth="1"/>
    <col min="7" max="8" width="25.44140625" style="6" customWidth="1"/>
    <col min="9" max="9" width="13.109375" style="6" bestFit="1" customWidth="1"/>
    <col min="10" max="10" width="9" style="6" bestFit="1" customWidth="1"/>
    <col min="11" max="16384" width="9.109375" style="6"/>
  </cols>
  <sheetData>
    <row r="1" spans="1:10" ht="14.4" x14ac:dyDescent="0.3">
      <c r="B1" s="37" t="s">
        <v>35</v>
      </c>
      <c r="C1"/>
      <c r="D1"/>
      <c r="E1"/>
      <c r="G1" s="37" t="s">
        <v>92</v>
      </c>
      <c r="H1" s="18" t="s" vm="1">
        <v>90</v>
      </c>
    </row>
    <row r="2" spans="1:10" ht="14.4" x14ac:dyDescent="0.3">
      <c r="B2" s="37" t="s">
        <v>98</v>
      </c>
      <c r="C2" s="37" t="s">
        <v>99</v>
      </c>
      <c r="D2" t="s">
        <v>34</v>
      </c>
      <c r="E2"/>
      <c r="H2"/>
    </row>
    <row r="3" spans="1:10" ht="14.4" x14ac:dyDescent="0.3">
      <c r="B3" s="18" t="s">
        <v>127</v>
      </c>
      <c r="C3" s="18" t="s">
        <v>93</v>
      </c>
      <c r="D3" s="45">
        <v>1</v>
      </c>
      <c r="E3"/>
      <c r="G3"/>
      <c r="H3"/>
      <c r="I3" s="37" t="s">
        <v>100</v>
      </c>
      <c r="J3"/>
    </row>
    <row r="4" spans="1:10" ht="14.4" x14ac:dyDescent="0.3">
      <c r="B4"/>
      <c r="C4" s="18" t="s">
        <v>94</v>
      </c>
      <c r="D4" s="45">
        <v>1</v>
      </c>
      <c r="E4"/>
      <c r="G4" s="37" t="s">
        <v>98</v>
      </c>
      <c r="H4" s="37" t="s">
        <v>101</v>
      </c>
      <c r="I4" s="18" t="s">
        <v>123</v>
      </c>
      <c r="J4" s="18" t="s">
        <v>124</v>
      </c>
    </row>
    <row r="5" spans="1:10" ht="14.4" x14ac:dyDescent="0.3">
      <c r="B5" s="18" t="s">
        <v>95</v>
      </c>
      <c r="C5"/>
      <c r="D5" s="45">
        <v>2</v>
      </c>
      <c r="E5"/>
      <c r="G5" s="18" t="s">
        <v>127</v>
      </c>
      <c r="H5" s="18" t="s">
        <v>102</v>
      </c>
      <c r="I5" s="45">
        <v>633</v>
      </c>
      <c r="J5" s="45"/>
    </row>
    <row r="6" spans="1:10" ht="14.4" x14ac:dyDescent="0.3">
      <c r="B6"/>
      <c r="C6"/>
      <c r="D6"/>
      <c r="E6"/>
      <c r="G6"/>
      <c r="H6" s="18" t="s">
        <v>122</v>
      </c>
      <c r="I6" s="45"/>
      <c r="J6" s="45">
        <v>381</v>
      </c>
    </row>
    <row r="7" spans="1:10" ht="14.4" x14ac:dyDescent="0.3">
      <c r="B7"/>
      <c r="C7"/>
      <c r="D7"/>
    </row>
    <row r="8" spans="1:10" ht="14.4" x14ac:dyDescent="0.3">
      <c r="A8"/>
      <c r="B8"/>
      <c r="C8"/>
      <c r="D8"/>
    </row>
    <row r="9" spans="1:10" ht="14.4" x14ac:dyDescent="0.3">
      <c r="A9"/>
      <c r="B9"/>
      <c r="C9"/>
      <c r="D9"/>
    </row>
    <row r="10" spans="1:10" ht="14.4" x14ac:dyDescent="0.3">
      <c r="A10"/>
      <c r="B10"/>
      <c r="C10"/>
      <c r="D10"/>
    </row>
    <row r="11" spans="1:10" ht="14.4" x14ac:dyDescent="0.3">
      <c r="A11"/>
      <c r="B11"/>
      <c r="C11"/>
      <c r="D11"/>
    </row>
    <row r="12" spans="1:10" ht="14.4" x14ac:dyDescent="0.3">
      <c r="A12"/>
      <c r="B12"/>
      <c r="C12"/>
      <c r="D12"/>
    </row>
    <row r="13" spans="1:10" ht="14.4" x14ac:dyDescent="0.3">
      <c r="A13"/>
      <c r="B13"/>
      <c r="C13"/>
      <c r="D13"/>
    </row>
    <row r="14" spans="1:10" ht="14.4" x14ac:dyDescent="0.3">
      <c r="A14"/>
      <c r="B14"/>
      <c r="C14"/>
      <c r="D14"/>
    </row>
    <row r="15" spans="1:10" ht="14.4" x14ac:dyDescent="0.3">
      <c r="A15"/>
      <c r="B15"/>
      <c r="C15"/>
    </row>
    <row r="16" spans="1:10" ht="14.4" x14ac:dyDescent="0.3">
      <c r="A16"/>
      <c r="B16"/>
      <c r="C16"/>
    </row>
    <row r="17" spans="1:3" ht="14.4" x14ac:dyDescent="0.3">
      <c r="A17"/>
      <c r="B17"/>
      <c r="C17"/>
    </row>
    <row r="18" spans="1:3" ht="14.4" x14ac:dyDescent="0.3">
      <c r="A18"/>
      <c r="B18"/>
      <c r="C18"/>
    </row>
    <row r="19" spans="1:3" ht="14.4" x14ac:dyDescent="0.3">
      <c r="A19"/>
      <c r="B19"/>
      <c r="C19"/>
    </row>
    <row r="20" spans="1:3" ht="14.4" x14ac:dyDescent="0.3">
      <c r="A20"/>
      <c r="B20"/>
      <c r="C20"/>
    </row>
    <row r="21" spans="1:3" ht="14.4" x14ac:dyDescent="0.3">
      <c r="A21"/>
      <c r="B21"/>
      <c r="C21"/>
    </row>
    <row r="22" spans="1:3" ht="14.4" x14ac:dyDescent="0.3">
      <c r="A22"/>
      <c r="B22"/>
      <c r="C22"/>
    </row>
    <row r="23" spans="1:3" ht="14.4" x14ac:dyDescent="0.3">
      <c r="A23"/>
      <c r="B23"/>
      <c r="C23"/>
    </row>
    <row r="24" spans="1:3" ht="14.4" x14ac:dyDescent="0.3">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https://poolcutsp/Pages/PoolProcess.aspx?poolId=10208</Url>
      <Description>资产切割</Description>
    </PoolCutPageURL>
    <PoolSource xmlns="82750804-9d0c-4555-9fa5-8dc8286bb7ad">0</PoolSource>
    <PoolUpdateType xmlns="82750804-9d0c-4555-9fa5-8dc8286bb7ad">PoolBase</PoolUpdateType>
    <PoolDescription xmlns="82750804-9d0c-4555-9fa5-8dc8286bb7ad">test002</PoolDescription>
    <PoolIdentification xmlns="82750804-9d0c-4555-9fa5-8dc8286bb7ad" xsi:nil="true"/>
    <PoolName xmlns="82750804-9d0c-4555-9fa5-8dc8286bb7ad">PoolBase_2_20151102_10208</PoolName>
    <PoolUpdateBy xmlns="82750804-9d0c-4555-9fa5-8dc8286bb7ad">0#.w|dev\gslocaladmin</PoolUpdateBy>
    <BasePoolAsOfDate xmlns="82750804-9d0c-4555-9fa5-8dc8286bb7ad">2015-11-02</BasePoolAsOfDate>
    <PoolID xmlns="82750804-9d0c-4555-9fa5-8dc8286bb7ad">10208</PoolID>
    <PoolLoanType xmlns="82750804-9d0c-4555-9fa5-8dc8286bb7ad">OnlyUnsold</PoolLoanType>
    <OverlapPool xmlns="82750804-9d0c-4555-9fa5-8dc8286bb7ad">true</OverlapPool>
    <PoolLoanValue xmlns="82750804-9d0c-4555-9fa5-8dc8286bb7ad">¥6,424,810,219.00</PoolLoanValue>
    <RefreshAsOfDate xmlns="82750804-9d0c-4555-9fa5-8dc8286bb7ad" xsi:nil="true"/>
    <PoolGroup xmlns="82750804-9d0c-4555-9fa5-8dc8286bb7ad">Job_2_20151102_10208</PoolGroup>
    <PoolReport xmlns="82750804-9d0c-4555-9fa5-8dc8286bb7ad">
      <Url>https://poolcutsp/PoolCutCenter/Job_2_20151102_10208/PoolBase_2_20151102_10208.xlsm</Url>
      <Description>报表</Description>
    </PoolReport>
    <PoolHierarchyName xmlns="82750804-9d0c-4555-9fa5-8dc8286bb7ad">PoolBase_2_20151102_10208</PoolHierarchyName>
    <PoolLoanCount xmlns="82750804-9d0c-4555-9fa5-8dc8286bb7ad">206</PoolLoanCount>
    <OrderBySequence xmlns="82750804-9d0c-4555-9fa5-8dc8286bb7ad">10208</OrderBySequence>
    <PoolHierarchy xmlns="82750804-9d0c-4555-9fa5-8dc8286bb7ad">Base</PoolHierarchy>
    <PoolTargetTrust xmlns="82750804-9d0c-4555-9fa5-8dc8286bb7ad" xsi:nil="true"/>
    <PoolOrganization xmlns="82750804-9d0c-4555-9fa5-8dc8286bb7ad">BGZ</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EF4D2F3-2BEC-417C-9A89-BE4476566629}">
  <ds:schemaRefs>
    <ds:schemaRef ds:uri="http://schemas.microsoft.com/office/infopath/2007/PartnerControls"/>
    <ds:schemaRef ds:uri="http://schemas.microsoft.com/office/2006/documentManagement/types"/>
    <ds:schemaRef ds:uri="http://purl.org/dc/terms/"/>
    <ds:schemaRef ds:uri="http://purl.org/dc/dcmitype/"/>
    <ds:schemaRef ds:uri="http://schemas.microsoft.com/office/2006/metadata/properties"/>
    <ds:schemaRef ds:uri="82750804-9d0c-4555-9fa5-8dc8286bb7ad"/>
    <ds:schemaRef ds:uri="http://schemas.openxmlformats.org/package/2006/metadata/core-properties"/>
    <ds:schemaRef ds:uri="http://purl.org/dc/elements/1.1/"/>
    <ds:schemaRef ds:uri="http://www.w3.org/XML/1998/namespace"/>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8AC4B772-4C34-4585-AFBF-FC83B5E024F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Local Dev</cp:lastModifiedBy>
  <dcterms:created xsi:type="dcterms:W3CDTF">2012-09-25T04:11:30Z</dcterms:created>
  <dcterms:modified xsi:type="dcterms:W3CDTF">2015-11-23T08:38:33Z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ies>
</file>