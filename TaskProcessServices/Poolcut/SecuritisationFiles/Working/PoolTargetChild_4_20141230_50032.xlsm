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e9caa785ff70425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07988d5daa74b3a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19320" windowHeight="9975" tabRatio="813" activeTab="3"/>
  </bookViews>
  <sheets>
    <sheet name="Index" sheetId="18" r:id="rId1"/>
    <sheet name="PoolStats" sheetId="12" r:id="rId2"/>
    <sheet name="ALR" sheetId="20" r:id="rId3"/>
    <sheet name="CUBE" sheetId="15" r:id="rId4"/>
    <sheet name="Reports" sheetId="2" r:id="rId5"/>
  </sheets>
  <calcPr calcId="145621"/>
  <pivotCaches>
    <pivotCache cacheId="0" r:id="rId6"/>
    <pivotCache cacheId="1" r:id="rId7"/>
    <pivotCache cacheId="2" r:id="rId8"/>
    <pivotCache cacheId="3" r:id="rId9"/>
    <pivotCache cacheId="4" r:id="rId10"/>
    <pivotCache cacheId="5" r:id="rId11"/>
    <pivotCache cacheId="6" r:id="rId12"/>
    <pivotCache cacheId="7" r:id="rId13"/>
    <pivotCache cacheId="8" r:id="rId14"/>
    <pivotCache cacheId="9" r:id="rId15"/>
    <pivotCache cacheId="10" r:id="rId16"/>
    <pivotCache cacheId="11" r:id="rId17"/>
    <pivotCache cacheId="12" r:id="rId18"/>
    <pivotCache cacheId="13" r:id="rId19"/>
    <pivotCache cacheId="14" r:id="rId20"/>
    <pivotCache cacheId="15" r:id="rId21"/>
    <pivotCache cacheId="16" r:id="rId22"/>
    <pivotCache cacheId="17" r:id="rId23"/>
    <pivotCache cacheId="18" r:id="rId24"/>
    <pivotCache cacheId="19" r:id="rId25"/>
    <pivotCache cacheId="20" r:id="rId26"/>
    <pivotCache cacheId="21" r:id="rId27"/>
    <pivotCache cacheId="22" r:id="rId28"/>
    <pivotCache cacheId="23" r:id="rId29"/>
    <pivotCache cacheId="24" r:id="rId30"/>
    <pivotCache cacheId="25" r:id="rId31"/>
    <pivotCache cacheId="26" r:id="rId32"/>
    <pivotCache cacheId="27" r:id="rId33"/>
    <pivotCache cacheId="28" r:id="rId34"/>
    <pivotCache cacheId="29" r:id="rId35"/>
    <pivotCache cacheId="30" r:id="rId36"/>
    <pivotCache cacheId="31" r:id="rId37"/>
  </pivotCaches>
</workbook>
</file>

<file path=xl/connections.xml><?xml version="1.0" encoding="utf-8"?>
<connections xmlns="http://schemas.openxmlformats.org/spreadsheetml/2006/main">
  <connection id="1" keepAlive="1" name="PoolCut Base Pool Connection String" type="5" refreshedVersion="4" background="1" saveData="1">
    <dbPr connection="Provider=MSOLAP.3;Integrated Security=SSPI;Persist Security Info=True;Initial Catalog=Job_4_20141230_50030;Data Source=.\mssql;Extended Properties=&quot;LocaleIdentifier=1033&quot;;MDX Compatibility=1;Safety Options=2;MDX Missing Member Mode=Error" command="Base Pool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PoolCut Base Pool Connection String"/>
    <s v="{[Dimension Loan].[Interest Rate Type Desc].&amp;[FIXED]}"/>
    <s v="{[Dimension Trust].[Dim Trust ID].&amp;[0]}"/>
    <s v="{[Consolidation LTV Pass].[LTV Pass No].&amp;[ECPass3]}"/>
    <s v="{[Dimension Pool].[Dim Reporting Date ID].&amp;[20120731]}"/>
    <s v="{[Main Security LTV Pass No].[LTV Pass No].&amp;[ECPass3]}"/>
    <s v="{[Dimension Pool].[DimPoolID].[All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<sst xmlns="http://schemas.openxmlformats.org/spreadsheetml/2006/main" count="1001" uniqueCount="526">
  <si>
    <t>Values</t>
  </si>
  <si>
    <t>Loan to Value Ratio Distribution</t>
  </si>
  <si>
    <t>Current Balance Distribution</t>
  </si>
  <si>
    <t>Seasoning Distribution</t>
  </si>
  <si>
    <t>Repayment Category Distribution</t>
  </si>
  <si>
    <t>Property Type Distribution</t>
  </si>
  <si>
    <t>Mortgage Insurance Distribution</t>
  </si>
  <si>
    <t>Remaining Year of Maturity</t>
  </si>
  <si>
    <t>Interest Rate Type</t>
  </si>
  <si>
    <t>FIXED</t>
  </si>
  <si>
    <t>Fixed Rate Year of Maturity</t>
  </si>
  <si>
    <t>Mortgage Rate Distribution</t>
  </si>
  <si>
    <t>Arrears Days</t>
  </si>
  <si>
    <t>Product  Distribution</t>
  </si>
  <si>
    <t>Fixed Rate Repricing Distribution by Year and Month</t>
  </si>
  <si>
    <t>Current Limit Loan to Value Ratio Distribution</t>
  </si>
  <si>
    <t>Distributions Desc</t>
  </si>
  <si>
    <t>Interest Only Expiry Date Remaining Period</t>
  </si>
  <si>
    <t>ECPass3</t>
  </si>
  <si>
    <t>LTV Pass No</t>
  </si>
  <si>
    <t>DimPoolID</t>
  </si>
  <si>
    <t>Report ID</t>
  </si>
  <si>
    <t>Details Report</t>
  </si>
  <si>
    <t>Pool Statistic Summary As At</t>
  </si>
  <si>
    <t xml:space="preserve">State Distribution for Main Security
</t>
  </si>
  <si>
    <t>Region Distribution for Main Security</t>
  </si>
  <si>
    <t>Current Rate Distribution</t>
  </si>
  <si>
    <t>Days in arrears</t>
  </si>
  <si>
    <t>Occupancy Purpose</t>
  </si>
  <si>
    <t>Trust ID</t>
  </si>
  <si>
    <t>DimPoolId</t>
  </si>
  <si>
    <t>Criteria Report Type</t>
  </si>
  <si>
    <t>ALR - Loan Summary</t>
  </si>
  <si>
    <t>ALR - Security Summary</t>
  </si>
  <si>
    <t>ALR - Consolidation Summary</t>
  </si>
  <si>
    <t>Interest Rate Type
Interest Rate Type Description</t>
  </si>
  <si>
    <t>Payment Type</t>
  </si>
  <si>
    <t>Mortgage Insurance</t>
  </si>
  <si>
    <t>Row Labels</t>
  </si>
  <si>
    <t>Scrubbed Loan Distribution</t>
  </si>
  <si>
    <t>Main Security Occupancy Purpose By Code</t>
  </si>
  <si>
    <t>Main Security Occupancy Purpose By Desc</t>
  </si>
  <si>
    <t>Occupancy Purpose Code</t>
  </si>
  <si>
    <t>Reporting Date</t>
  </si>
  <si>
    <t>Interest Rate Type Desc</t>
  </si>
  <si>
    <t>Select Trust ID</t>
  </si>
  <si>
    <t>Select Reporting Date</t>
  </si>
  <si>
    <t>Select Pool</t>
  </si>
  <si>
    <t>ptSummary</t>
  </si>
  <si>
    <t>Check</t>
  </si>
  <si>
    <t>Table Friendly Name</t>
  </si>
  <si>
    <t>Table Key Name</t>
  </si>
  <si>
    <t>Pool status summary</t>
  </si>
  <si>
    <t>ptCBD</t>
  </si>
  <si>
    <t>ptCBLTV</t>
  </si>
  <si>
    <t>ptMRD</t>
  </si>
  <si>
    <t>ptSD</t>
  </si>
  <si>
    <t>ptIOEDRP</t>
  </si>
  <si>
    <t>ptCBLLTVD</t>
  </si>
  <si>
    <t>ptAD</t>
  </si>
  <si>
    <t>ptRCD</t>
  </si>
  <si>
    <t>ptIRT</t>
  </si>
  <si>
    <t>ptMSOPBD</t>
  </si>
  <si>
    <t>ptMSOPBC</t>
  </si>
  <si>
    <t>ptSLD</t>
  </si>
  <si>
    <t>ptMID</t>
  </si>
  <si>
    <t>ptPTD</t>
  </si>
  <si>
    <t>ptMSSD</t>
  </si>
  <si>
    <t>ptMSRD</t>
  </si>
  <si>
    <t>LoanBucketing</t>
  </si>
  <si>
    <t>LoanProperties</t>
  </si>
  <si>
    <t>PropertyType</t>
  </si>
  <si>
    <t>Geo</t>
  </si>
  <si>
    <t>Product</t>
  </si>
  <si>
    <t>ptPD</t>
  </si>
  <si>
    <t>T2MYear</t>
  </si>
  <si>
    <t>ptRYOM</t>
  </si>
  <si>
    <t>FixedT2MYear</t>
  </si>
  <si>
    <t>ptFRYOM</t>
  </si>
  <si>
    <t>FixedT2MMonth</t>
  </si>
  <si>
    <t>ptFRRDBYM</t>
  </si>
  <si>
    <t>ALR Summary</t>
  </si>
  <si>
    <t>ptALRLS</t>
  </si>
  <si>
    <t>ptALRSS</t>
  </si>
  <si>
    <t>ptALRCS</t>
  </si>
  <si>
    <t>ALR</t>
  </si>
  <si>
    <t>CUBE</t>
  </si>
  <si>
    <t>ALRDetails</t>
  </si>
  <si>
    <t>ALR - Failed Loans</t>
  </si>
  <si>
    <t>ALR - Failed Securities</t>
  </si>
  <si>
    <t>ALR - Failed Consolidation</t>
  </si>
  <si>
    <t>ptALRFL</t>
  </si>
  <si>
    <t>ptALRFS</t>
  </si>
  <si>
    <t>ptALRFC</t>
  </si>
  <si>
    <t>Reports Drill Through</t>
  </si>
  <si>
    <t>Reports</t>
  </si>
  <si>
    <t>ptReportsDT</t>
  </si>
  <si>
    <t>ALR - Failed Consolidations</t>
  </si>
  <si>
    <t>New</t>
  </si>
  <si>
    <t>Combined</t>
  </si>
  <si>
    <t>Number of Housing Loans</t>
  </si>
  <si>
    <t>Number of Post Consolidation ID Groups</t>
  </si>
  <si>
    <t>Housing Loan Pool Size ($A)</t>
  </si>
  <si>
    <t>Weighted Average Current Balance Loan-to-Value Ratio (%)</t>
  </si>
  <si>
    <t>Weighted Average Seasoning (Months)</t>
  </si>
  <si>
    <t>Weighted Average Remaining Term to Maturity (Months)</t>
  </si>
  <si>
    <t>Maximum Current Remaining Term to Maturity (Months)</t>
  </si>
  <si>
    <t>Weighted Average Original Term to Maturity (Months)</t>
  </si>
  <si>
    <t>% of Interest Only</t>
  </si>
  <si>
    <t>% of Principal and Interest</t>
  </si>
  <si>
    <t>% of Low Doc Loans</t>
  </si>
  <si>
    <t>Weighted Average Mortgage Rate (%)</t>
  </si>
  <si>
    <t>% of loans scrubbed</t>
  </si>
  <si>
    <t>% Mortgage Insured</t>
  </si>
  <si>
    <t>Fixed Housing Loan Balance $</t>
  </si>
  <si>
    <t>Variable Housing Loan Balance $</t>
  </si>
  <si>
    <t>No. Of Loans</t>
  </si>
  <si>
    <t>Current Principal Balance</t>
  </si>
  <si>
    <t>Fact Loan Average Balance Per Loan</t>
  </si>
  <si>
    <t>Fact Loan Number Portion Percentage</t>
  </si>
  <si>
    <t>Fact Loan Balance Portion Percentage</t>
  </si>
  <si>
    <t>less than  $10,000</t>
  </si>
  <si>
    <t>Grand Total</t>
  </si>
  <si>
    <t>&lt;= 5.00%</t>
  </si>
  <si>
    <t>Loan EC Report</t>
  </si>
  <si>
    <t>Failed Loan Count</t>
  </si>
  <si>
    <t>Passed Loan Count</t>
  </si>
  <si>
    <t>Total Loan Count</t>
  </si>
  <si>
    <t>Failed Loan Balance</t>
  </si>
  <si>
    <t>Passed Loan Balance</t>
  </si>
  <si>
    <t>Total Loan Balance</t>
  </si>
  <si>
    <t>Security EC Report</t>
  </si>
  <si>
    <t>Failed Security Count</t>
  </si>
  <si>
    <t>Passed Security Count</t>
  </si>
  <si>
    <t>Total Security Count</t>
  </si>
  <si>
    <t>Failed Security Valuation Amount</t>
  </si>
  <si>
    <t>Passed Security Valuation Amount</t>
  </si>
  <si>
    <t>Total Security Valuation Amount</t>
  </si>
  <si>
    <t>Consolidation EC Report</t>
  </si>
  <si>
    <t>Failed Consolidation Count</t>
  </si>
  <si>
    <t>Passed Consolidation Count</t>
  </si>
  <si>
    <t>Total Consolidation Count</t>
  </si>
  <si>
    <t>Failed Consolidation Balance</t>
  </si>
  <si>
    <t>Passed Consolidation Balance</t>
  </si>
  <si>
    <t>Total Consolidation Balance</t>
  </si>
  <si>
    <t>4.751% - 5.000%</t>
  </si>
  <si>
    <t>5.001% - 5.250%</t>
  </si>
  <si>
    <t>5.251% - 5.500%</t>
  </si>
  <si>
    <t>5.501% - 5.750%</t>
  </si>
  <si>
    <t>5.751% - 6.000%</t>
  </si>
  <si>
    <t>6.001% - 6.250%</t>
  </si>
  <si>
    <t>6.251% - 6.500%</t>
  </si>
  <si>
    <t>6.501% - 6.750%</t>
  </si>
  <si>
    <t>6.751% - 7.000%</t>
  </si>
  <si>
    <t>7.001% - 7.250%</t>
  </si>
  <si>
    <t>7.251% - 7.500%</t>
  </si>
  <si>
    <t>7.501% - 7.750%</t>
  </si>
  <si>
    <t>7.751% - 8.000%</t>
  </si>
  <si>
    <t>8.001% - 8.250%</t>
  </si>
  <si>
    <t>8.251% - 8.500%</t>
  </si>
  <si>
    <t>8.501% - 8.750%</t>
  </si>
  <si>
    <t>8.751% - 9.000%</t>
  </si>
  <si>
    <t>9.001% - 9.250%</t>
  </si>
  <si>
    <t>9.251% - 9.500%</t>
  </si>
  <si>
    <t>&gt; 3 mths and &lt;= 6 mths</t>
  </si>
  <si>
    <t>&gt; 6 mths and &lt;= 12 mths</t>
  </si>
  <si>
    <t>&gt; 12 mths and &lt;= 18 mths</t>
  </si>
  <si>
    <t>&gt; 18 mths and &lt;= 24 mths</t>
  </si>
  <si>
    <t>&gt; 24 and &lt;= 36 mths</t>
  </si>
  <si>
    <t>&gt; 36 and &lt;= 48 mths</t>
  </si>
  <si>
    <t>&gt; 48 and &lt;= 60 mths</t>
  </si>
  <si>
    <t>&gt; 60 and &lt;= 72 mths</t>
  </si>
  <si>
    <t>&gt; 72 and &lt;= 84 mths</t>
  </si>
  <si>
    <t>&gt; 84 and &lt;= 96 mths</t>
  </si>
  <si>
    <t>&gt; 96 and &lt;= 108 mths</t>
  </si>
  <si>
    <t>&gt; 108 and &lt;= 120 mths</t>
  </si>
  <si>
    <t>&gt; 120 and &lt;= 150 mths</t>
  </si>
  <si>
    <t>&gt; 150 mths</t>
  </si>
  <si>
    <t>Unknown</t>
  </si>
  <si>
    <t>&lt; = 3 Mths</t>
  </si>
  <si>
    <t>&gt; 3 Mths and &lt;= 6 Mths</t>
  </si>
  <si>
    <t>&gt; 6 Mths and &lt;= 12 Mths</t>
  </si>
  <si>
    <t>&gt; 12 Mths and &lt;= 18 Mths</t>
  </si>
  <si>
    <t>&gt; 18 Mths and &lt;= 24 Mths</t>
  </si>
  <si>
    <t>&gt; 2 and &lt;= 3 yrs</t>
  </si>
  <si>
    <t>&gt; 3 and &lt;= 4 yrs</t>
  </si>
  <si>
    <t>&gt; 4 and &lt;= 5 yrs</t>
  </si>
  <si>
    <t>&gt; 5 yrs</t>
  </si>
  <si>
    <t>&gt; 110.00%</t>
  </si>
  <si>
    <t>05.01% - 10.00%</t>
  </si>
  <si>
    <t>10.01% - 15.00%</t>
  </si>
  <si>
    <t>100.01% - 105.00%</t>
  </si>
  <si>
    <t>105.01% - 110.00%</t>
  </si>
  <si>
    <t>15.01% - 20.00%</t>
  </si>
  <si>
    <t>20.01% - 25.00%</t>
  </si>
  <si>
    <t>25.01% - 30.00%</t>
  </si>
  <si>
    <t>30.01% - 35.00%</t>
  </si>
  <si>
    <t>35.01% - 40.00%</t>
  </si>
  <si>
    <t>40.01% - 45.00%</t>
  </si>
  <si>
    <t>45.01% - 50.00%</t>
  </si>
  <si>
    <t>50.01% - 55.00%</t>
  </si>
  <si>
    <t>55.01% - 60.00%</t>
  </si>
  <si>
    <t>60.01% - 65.00%</t>
  </si>
  <si>
    <t>65.01% - 70.00%</t>
  </si>
  <si>
    <t>70.01% - 75.00%</t>
  </si>
  <si>
    <t>75.01% - 80.00%</t>
  </si>
  <si>
    <t>80.01% - 85.00%</t>
  </si>
  <si>
    <t>85.01% - 90.00%</t>
  </si>
  <si>
    <t>90.01% - 95.00%</t>
  </si>
  <si>
    <t>95.01% - 100.00%</t>
  </si>
  <si>
    <t>Current</t>
  </si>
  <si>
    <t>&gt; 0 - &lt;= 30 days</t>
  </si>
  <si>
    <t>Interest Only</t>
  </si>
  <si>
    <t>Principal and Interest</t>
  </si>
  <si>
    <t>VARIABLE</t>
  </si>
  <si>
    <t>Fact Loan Count</t>
  </si>
  <si>
    <t>N</t>
  </si>
  <si>
    <t>Y</t>
  </si>
  <si>
    <t>No Insurance</t>
  </si>
  <si>
    <t>PMI</t>
  </si>
  <si>
    <t>State Main Security Loan Number Portion Percentage</t>
  </si>
  <si>
    <t>State Main Security Loan Balance Portion Percentage</t>
  </si>
  <si>
    <t>Region Main Security Loan Number Portion Percentage</t>
  </si>
  <si>
    <t>Region Main Security Loan Balance Portion Percentage</t>
  </si>
  <si>
    <t>Consolidation Loan Security Details Report</t>
  </si>
  <si>
    <t>Consolidation Security Loan Details Report</t>
  </si>
  <si>
    <t>Loan AuditCode Report</t>
  </si>
  <si>
    <t>Loan Customer Report</t>
  </si>
  <si>
    <t>Loan with failed Securities Report</t>
  </si>
  <si>
    <t>Rating Agency Report</t>
  </si>
  <si>
    <t>$10,000.01 - $20,000</t>
  </si>
  <si>
    <t>$20,000.01 - $30,000</t>
  </si>
  <si>
    <t>$30,000.01 - $40,000</t>
  </si>
  <si>
    <t>$40,000.01 - $50,000</t>
  </si>
  <si>
    <t>$50,000.01 - $60,000</t>
  </si>
  <si>
    <t>$60,000.01 - $70,000</t>
  </si>
  <si>
    <t>$70,000.01 - $80,000</t>
  </si>
  <si>
    <t>$80,000.01 - $90,000</t>
  </si>
  <si>
    <t>$90,000.01 - $100,000</t>
  </si>
  <si>
    <t>$100,000.01 - $150,000</t>
  </si>
  <si>
    <t>$150,000.01 - $200,000</t>
  </si>
  <si>
    <t>$200,000.01 - $250,000</t>
  </si>
  <si>
    <t>$250,000.01 - $300,000</t>
  </si>
  <si>
    <t>$300,000.01 - $350,000</t>
  </si>
  <si>
    <t>$350,000.01 - $400,000</t>
  </si>
  <si>
    <t>$400,000.01 - $450,000</t>
  </si>
  <si>
    <t>$450,000.01 - $500,000</t>
  </si>
  <si>
    <t>$500,000.01 - $550,000</t>
  </si>
  <si>
    <t>$550,000.01 - $600,000</t>
  </si>
  <si>
    <t>$600,000.01 - $650,000</t>
  </si>
  <si>
    <t>$650,000.01 - $700,000</t>
  </si>
  <si>
    <t>$700,000.01 - $750,000</t>
  </si>
  <si>
    <t>$750,000.01 - $800,000</t>
  </si>
  <si>
    <t>$800,000.01 - $850,000</t>
  </si>
  <si>
    <t>$850,000.01 - $900,000</t>
  </si>
  <si>
    <t>$900,000.01 - $950,000</t>
  </si>
  <si>
    <t>$950,000.01 - $1,000,000</t>
  </si>
  <si>
    <t>$1,000,000.01 - $1,050,000</t>
  </si>
  <si>
    <t>$1,050,000.01 - $1,100,000</t>
  </si>
  <si>
    <t>$1,100,000.01 - $1,150,000</t>
  </si>
  <si>
    <t>$1,150,000.01 - $1,200,000</t>
  </si>
  <si>
    <t>$1,200,000.01 - $1,250,000</t>
  </si>
  <si>
    <t>$1,250,000.01 - $1,300,000</t>
  </si>
  <si>
    <t>$1,350,000.01 - $1,400,000</t>
  </si>
  <si>
    <t>$1,400,000.01 - $1,450,000</t>
  </si>
  <si>
    <t>$1,450,000.01 - $1,500,000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</si>
  <si>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</si>
  <si>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</si>
  <si>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</si>
  <si>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</si>
  <si>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</si>
  <si>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</si>
  <si>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</si>
  <si>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</si>
  <si>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</si>
  <si>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</si>
  <si>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</si>
  <si>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</si>
  <si>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</si>
  <si>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</si>
  <si>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</si>
  <si>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</si>
  <si>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</si>
  <si>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</si>
  <si>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</si>
  <si>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</si>
  <si>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</si>
  <si>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</si>
  <si>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</si>
  <si>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</si>
  <si>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</si>
  <si>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</si>
  <si>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</si>
  <si>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</si>
  <si>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</si>
  <si>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</si>
  <si>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2012</t>
  </si>
  <si>
    <t>2013-01</t>
  </si>
  <si>
    <t>2013-02</t>
  </si>
  <si>
    <t>2013-03</t>
  </si>
  <si>
    <t>2013-04</t>
  </si>
  <si>
    <t>UNK</t>
  </si>
  <si>
    <t>Property Type</t>
  </si>
  <si>
    <t>1. Press "Refresh Filter Data" upon opening Report to activate spreadsheet
2. Select appropriate filters:</t>
  </si>
  <si>
    <t>Mandatory</t>
  </si>
  <si>
    <t>Default to ECPass3. Optional to change</t>
  </si>
  <si>
    <t>3. Press "Refresh All" or Refresh individual cubes as appropriate</t>
  </si>
  <si>
    <t>Failed Loan Summary Report</t>
  </si>
  <si>
    <t>AUS_EC01_ResidentType</t>
  </si>
  <si>
    <t>AUS_EC02_EnforcementFlag</t>
  </si>
  <si>
    <t>AUS_EC03_LitigationFlag</t>
  </si>
  <si>
    <t>AUS_EC04_ProductCode</t>
  </si>
  <si>
    <t>AUS_EC05_OriginalBrand</t>
  </si>
  <si>
    <t>AUS_EC06_01_PaymentTypeDefault</t>
  </si>
  <si>
    <t>AUS_EC06_03_PaymentType_InterestOnly_IPANXCalculation</t>
  </si>
  <si>
    <t>AUS_EC08_MaturityDate</t>
  </si>
  <si>
    <t>AUS_EC09_LoanStartDate</t>
  </si>
  <si>
    <t>AUS_EC10_ProgressiveDrawdownFlag</t>
  </si>
  <si>
    <t>AUS_EC11_DaysInArrears</t>
  </si>
  <si>
    <t>AUS_EC12_MinimumLoanSize</t>
  </si>
  <si>
    <t>AUS_EC12_MaximumLoanSize</t>
  </si>
  <si>
    <t>AUS_EC13_MortgageInsurerCode</t>
  </si>
  <si>
    <t>AUS_EC14_LoanPurposeCode</t>
  </si>
  <si>
    <t>AUS_EC15_FixedRateExpiryDate</t>
  </si>
  <si>
    <t>AUS_EC21_AuditCode</t>
  </si>
  <si>
    <t>AUS_EC22_MaximumNoOfSecurities</t>
  </si>
  <si>
    <t>AUS_EC29_InterestRate</t>
  </si>
  <si>
    <t>AUS_EC31_LoanStartDatePeriod</t>
  </si>
  <si>
    <t>AUS_EC32_GLClass</t>
  </si>
  <si>
    <t>AUS_EC35_LoanAccountNumber</t>
  </si>
  <si>
    <t>AUS_EC36_HardshipFlag</t>
  </si>
  <si>
    <t>AUS_EC41_ConsolidationLTVCriteriaLoan</t>
  </si>
  <si>
    <t>AUS_EC19_SecurityPropertyNatureCode</t>
  </si>
  <si>
    <t>AUS_EC20_SecurityPropertyType</t>
  </si>
  <si>
    <t>AUS_EC26_ApprovalValuation</t>
  </si>
  <si>
    <t>AUS_EC30_ValidSecurityType</t>
  </si>
  <si>
    <t>AUS_EC33_SecurityStreetName</t>
  </si>
  <si>
    <t>AUS_EC39_SameSecurityAddrMultiSecurityNums</t>
  </si>
  <si>
    <t>AUS_EC42_ConsolidationLTVCriteriaSecurity</t>
  </si>
  <si>
    <t>AUS_EC43_SecuritiesWithoutPassedLoans</t>
  </si>
  <si>
    <t>$1,300,000.01 - $1,350,000</t>
  </si>
  <si>
    <t>3.751% - 4.000%</t>
  </si>
  <si>
    <t>Non-owner occupied</t>
  </si>
  <si>
    <t>Owner occupied-primary residence</t>
  </si>
  <si>
    <t>Owner occupied-secondary residence</t>
  </si>
  <si>
    <t>Vacant</t>
  </si>
  <si>
    <t>00</t>
  </si>
  <si>
    <t>01</t>
  </si>
  <si>
    <t>02</t>
  </si>
  <si>
    <t>03</t>
  </si>
  <si>
    <t>GEMICO</t>
  </si>
  <si>
    <t>GEMICO WST2002</t>
  </si>
  <si>
    <t>Genworth</t>
  </si>
  <si>
    <t>HLIC</t>
  </si>
  <si>
    <t>Sun Alliance</t>
  </si>
  <si>
    <t>WLMI</t>
  </si>
  <si>
    <t>Company Title Unit</t>
  </si>
  <si>
    <t>Converted Commercial Property</t>
  </si>
  <si>
    <t>Converted Industrial Property</t>
  </si>
  <si>
    <t>Detached House</t>
  </si>
  <si>
    <t>Duplex</t>
  </si>
  <si>
    <t>Government Rental Guarantee</t>
  </si>
  <si>
    <t>Holiday Home</t>
  </si>
  <si>
    <t>Holiday Rental</t>
  </si>
  <si>
    <t>Licensed Builder - House Construction</t>
  </si>
  <si>
    <t>Newly Built Strata Title Unit</t>
  </si>
  <si>
    <t>Owner Builder - House Construction</t>
  </si>
  <si>
    <t>Rental Guarantee</t>
  </si>
  <si>
    <t>Semi-Detached House</t>
  </si>
  <si>
    <t>Strata Title Unit</t>
  </si>
  <si>
    <t>Terrace</t>
  </si>
  <si>
    <t>Time Share Property</t>
  </si>
  <si>
    <t>Townhouse</t>
  </si>
  <si>
    <t>Villa</t>
  </si>
  <si>
    <t>AUS</t>
  </si>
  <si>
    <t>First Option Home Loan - MSS</t>
  </si>
  <si>
    <t>Fixed Option Home Loan - Low Doc</t>
  </si>
  <si>
    <t>Fixed Option Home Loan - MSS</t>
  </si>
  <si>
    <t>Flexi First Option Home Loan</t>
  </si>
  <si>
    <t>Flexi First Option Investment Loan</t>
  </si>
  <si>
    <t>IPL - First Option - MSS</t>
  </si>
  <si>
    <t>IPL - Fixed Rate - Low Doc</t>
  </si>
  <si>
    <t>IPL - Fixed Rate - MSS</t>
  </si>
  <si>
    <t>IPL - Variable Rate - Low Doc</t>
  </si>
  <si>
    <t>IPL - Variable Rate - MSS</t>
  </si>
  <si>
    <t>Premium Option Home Loan - Low Doc</t>
  </si>
  <si>
    <t>Premium Option Home Loan - MSS</t>
  </si>
  <si>
    <t>Rocket - Housing Loan Variable - Low Doc</t>
  </si>
  <si>
    <t>Rocket - Housing Loan Variable - MSS</t>
  </si>
  <si>
    <t>Rocket - Variable - IPL - Low Doc</t>
  </si>
  <si>
    <t>Rocket - Variable - IPL - MSS</t>
  </si>
  <si>
    <r>
      <t xml:space="preserve">4. Go back to Step 1 "Refresh Filter Data", to re-Activate "Refresh" buttons to start over.  </t>
    </r>
    <r>
      <rPr>
        <b/>
        <sz val="11"/>
        <color rgb="FF00B050"/>
        <rFont val="Calibri"/>
        <family val="2"/>
        <scheme val="minor"/>
      </rPr>
      <t>***(go back to Index sheet, shortcut key Ctrl+b)***</t>
    </r>
  </si>
  <si>
    <t>% of Investment Property Loans</t>
  </si>
  <si>
    <t>% Owner Occupied</t>
  </si>
  <si>
    <t>Australian Capital Territory - Metropolitan</t>
  </si>
  <si>
    <t>New South Wales - Other</t>
  </si>
  <si>
    <t>New South Wales - Sydney Metropolitan</t>
  </si>
  <si>
    <t>Northern Territory - Darwin Metropolitan</t>
  </si>
  <si>
    <t>Northern Territory - Metropolitan</t>
  </si>
  <si>
    <t>Northern Territory - Other</t>
  </si>
  <si>
    <t>Queensland - Brisbane Metropolitan</t>
  </si>
  <si>
    <t>Queensland - Other</t>
  </si>
  <si>
    <t>South Australia - Adelaide Metropolitan</t>
  </si>
  <si>
    <t>South Australia - Other</t>
  </si>
  <si>
    <t>Tasmania - Hobart Metropolitan</t>
  </si>
  <si>
    <t>Tasmania - Other</t>
  </si>
  <si>
    <t>Victoria - Metropolitan</t>
  </si>
  <si>
    <t>Victoria - Other</t>
  </si>
  <si>
    <t>Western Australia - Other</t>
  </si>
  <si>
    <t>Western Australia - Perth Metropolitan</t>
  </si>
  <si>
    <t>Other</t>
  </si>
  <si>
    <t>NSW</t>
  </si>
  <si>
    <t>ACT</t>
  </si>
  <si>
    <t>NT</t>
  </si>
  <si>
    <t>QLD</t>
  </si>
  <si>
    <t>SA</t>
  </si>
  <si>
    <t>TAS</t>
  </si>
  <si>
    <t>VIC</t>
  </si>
  <si>
    <t>WA</t>
  </si>
  <si>
    <t>Mandatory – Select “UNK” for New Pool or “UNK” and “Target Trust No.” for Substitution/Top Up</t>
  </si>
  <si>
    <t>2012-08</t>
  </si>
  <si>
    <t>2012-09</t>
  </si>
  <si>
    <t>2012-10</t>
  </si>
  <si>
    <t>2012-11</t>
  </si>
  <si>
    <t>2012-12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</si>
  <si>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</si>
  <si>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</si>
  <si>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</si>
  <si>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</si>
  <si>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</si>
  <si>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</si>
  <si>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</si>
  <si>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</si>
  <si>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</si>
  <si>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</si>
  <si>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</si>
  <si>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</si>
  <si>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</si>
  <si>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</si>
  <si>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</si>
  <si>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</si>
  <si>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</si>
  <si>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</si>
  <si>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</si>
  <si>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</si>
  <si>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</si>
  <si>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</si>
  <si>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</si>
  <si>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</si>
  <si>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</si>
  <si>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</si>
  <si>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</si>
  <si>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</si>
  <si>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</si>
  <si>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</si>
  <si>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</si>
  <si>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</si>
  <si>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</si>
  <si>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</si>
  <si>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</si>
  <si>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</si>
  <si>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</si>
  <si>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</si>
  <si>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</si>
  <si>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</si>
  <si>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</si>
  <si>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</si>
  <si>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</si>
  <si>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</si>
  <si>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</si>
  <si>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</si>
  <si>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</si>
  <si>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</si>
  <si>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</si>
  <si>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</si>
  <si>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</si>
  <si>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"New" = unsold loans linked to sold loans in Consolidation (Target) Trust</t>
  </si>
  <si>
    <t>Consolidation Trust ID</t>
  </si>
  <si>
    <t>NEW</t>
  </si>
  <si>
    <t>Pool Passed Unsold Linked Loans by Trust</t>
  </si>
  <si>
    <t>ptPULBTSummary</t>
  </si>
  <si>
    <t>Rating Agency Supplementary Loan Report</t>
  </si>
  <si>
    <t>Rating Agency Supplementary Security Report</t>
  </si>
  <si>
    <t>Housing Loan Pool Size ($)</t>
  </si>
  <si>
    <t>Maximum Housing Loan Balance ($)</t>
  </si>
  <si>
    <t>Minimum Housing Loan Balance ($)</t>
  </si>
  <si>
    <t>Total Valuation of the Properties ($)</t>
  </si>
  <si>
    <t>Please make sure select Consolidation Trust ID for a top up deal</t>
  </si>
  <si>
    <t>Closed Loan Report</t>
  </si>
  <si>
    <t>20120731</t>
  </si>
  <si>
    <t>Capped Housing Loan Balance $</t>
  </si>
  <si>
    <t>AUS_EC_ClosedLoan</t>
  </si>
  <si>
    <t>Include/Exclude Loan Summary Report</t>
  </si>
  <si>
    <t>Consolidation Valuation $</t>
  </si>
  <si>
    <t>Weighted Average Current Limit Loan-to-Value Ratio (%)</t>
  </si>
  <si>
    <t>Highest Consolidated Current Balance LVR (%)</t>
  </si>
  <si>
    <t>Lowest Consolidated CurrentBalance LVR (%)</t>
  </si>
  <si>
    <t>Highest Consolidated Current Limit LVR (%)</t>
  </si>
  <si>
    <t>Lowest Consolidated Current Limit LVR (%)</t>
  </si>
  <si>
    <t>Average Housing Loan Balance ($)</t>
  </si>
  <si>
    <t>All</t>
  </si>
  <si>
    <t>1970</t>
  </si>
  <si>
    <t>0 &gt; and &lt;= 5 yrs</t>
  </si>
  <si>
    <t>5 &gt; and &lt;= 10 yrs</t>
  </si>
  <si>
    <t>10 &gt; and &lt;= 15 yrs</t>
  </si>
  <si>
    <t>15 &gt; and &lt;= 20 yrs</t>
  </si>
  <si>
    <t>20 &gt; and &lt;= 25 yrs</t>
  </si>
  <si>
    <t>25 &gt; and &lt;= 26 yrs</t>
  </si>
  <si>
    <t>26 &gt; and &lt;= 27 yrs</t>
  </si>
  <si>
    <t>27 &gt; and &lt;= 28 yrs</t>
  </si>
  <si>
    <t>28 &gt; and &lt;= 29 yrs</t>
  </si>
  <si>
    <t>29 &gt; and &lt;= 30 yrs</t>
  </si>
  <si>
    <t>&lt;= 3 Mths</t>
  </si>
  <si>
    <t>&gt; 3 and &lt;= 6 Mths</t>
  </si>
  <si>
    <t>&gt; 6 and &lt;= 12 Mths</t>
  </si>
  <si>
    <t>&gt; 12 and &lt;= 18 Mths</t>
  </si>
  <si>
    <t>&gt; 18 and &lt;= 24 Mths</t>
  </si>
  <si>
    <t>ptRTTM</t>
  </si>
  <si>
    <t>ptFRERT</t>
  </si>
  <si>
    <t>Remaining Term Distribution</t>
  </si>
  <si>
    <t>Fixed Rate Expiry Remaining Term Distribution</t>
  </si>
  <si>
    <t>Fixed Rate Expiry Date Remaing Term Distribution</t>
  </si>
  <si>
    <t>% of Guaranteed Loans Security Type 03</t>
  </si>
  <si>
    <t>$0.00</t>
  </si>
  <si>
    <t>1973</t>
  </si>
  <si>
    <t>PoolCut Sale Date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</si>
</sst>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&quot;$&quot;#,##0.00"/>
    <numFmt numFmtId="165" formatCode="0.0000"/>
    <numFmt numFmtId="166" formatCode="0.00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Arial"/>
      <family val="2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0"/>
      <color theme="5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10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2" fillId="0" borderId="0" xfId="0" applyFont="1"/>
    <xf numFmtId="16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4" fillId="0" borderId="0" xfId="0" applyFont="1"/>
    <xf numFmtId="0" fontId="6" fillId="0" borderId="0" xfId="0" applyFont="1"/>
    <xf numFmtId="3" fontId="4" fillId="0" borderId="0" xfId="0" applyNumberFormat="1" applyFont="1"/>
    <xf numFmtId="0" fontId="6" fillId="0" borderId="0" xfId="0" applyFont="1" applyFill="1"/>
    <xf numFmtId="3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7" fillId="0" borderId="0" xfId="0" applyFont="1"/>
    <xf numFmtId="164" fontId="8" fillId="0" borderId="0" xfId="0" applyNumberFormat="1" applyFont="1"/>
    <xf numFmtId="0" fontId="8" fillId="0" borderId="0" xfId="0" applyFont="1" applyAlignment="1">
      <alignment horizontal="left"/>
    </xf>
    <xf numFmtId="3" fontId="8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0" fontId="8" fillId="0" borderId="0" xfId="0" applyNumberFormat="1" applyFont="1"/>
    <xf numFmtId="0" fontId="0" fillId="0" borderId="0" xfId="0"/>
    <xf numFmtId="0" fontId="2" fillId="0" borderId="0" xfId="0" applyFont="1"/>
    <xf numFmtId="0" fontId="10" fillId="0" borderId="0" xfId="7" applyAlignment="1">
      <alignment horizontal="center" vertical="center"/>
    </xf>
    <xf numFmtId="0" fontId="11" fillId="0" borderId="0" xfId="0" pivotButton="1" applyFont="1"/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10" fillId="2" borderId="0" xfId="7" applyFill="1" applyAlignment="1">
      <alignment horizontal="center" vertical="center"/>
    </xf>
    <xf numFmtId="0" fontId="15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2" fillId="2" borderId="0" xfId="0" applyFont="1" applyFill="1"/>
    <xf numFmtId="0" fontId="9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/>
    <xf numFmtId="0" fontId="0" fillId="0" borderId="0" xfId="0"/>
    <xf numFmtId="164" fontId="0" fillId="0" borderId="0" xfId="0" applyNumberFormat="1"/>
    <xf numFmtId="0" fontId="4" fillId="0" borderId="0" xfId="0" applyFont="1"/>
    <xf numFmtId="0" fontId="6" fillId="0" borderId="0" xfId="0" applyFont="1"/>
    <xf numFmtId="0" fontId="4" fillId="0" borderId="0" xfId="0" pivotButton="1" applyFont="1"/>
    <xf numFmtId="164" fontId="4" fillId="0" borderId="0" xfId="0" applyNumberFormat="1" applyFont="1"/>
    <xf numFmtId="0" fontId="6" fillId="0" borderId="0" xfId="0" pivotButton="1" applyFont="1"/>
    <xf numFmtId="164" fontId="4" fillId="0" borderId="0" xfId="0" pivotButton="1" applyNumberFormat="1" applyFont="1"/>
    <xf numFmtId="3" fontId="4" fillId="0" borderId="0" xfId="0" applyNumberFormat="1" applyFont="1"/>
    <xf numFmtId="14" fontId="4" fillId="0" borderId="0" xfId="0" applyNumberFormat="1" applyFont="1"/>
    <xf numFmtId="0" fontId="4" fillId="0" borderId="0" xfId="0" pivotButton="1" applyFont="1" applyAlignment="1">
      <alignment horizontal="right"/>
    </xf>
    <xf numFmtId="3" fontId="4" fillId="0" borderId="0" xfId="0" pivotButton="1" applyNumberFormat="1" applyFont="1" applyAlignment="1">
      <alignment horizontal="right"/>
    </xf>
    <xf numFmtId="3" fontId="5" fillId="0" borderId="0" xfId="0" applyNumberFormat="1" applyFont="1"/>
    <xf numFmtId="164" fontId="5" fillId="0" borderId="0" xfId="0" applyNumberFormat="1" applyFont="1"/>
    <xf numFmtId="4" fontId="5" fillId="0" borderId="0" xfId="0" applyNumberFormat="1" applyFont="1"/>
    <xf numFmtId="0" fontId="4" fillId="0" borderId="0" xfId="0" applyFont="1" applyAlignment="1">
      <alignment horizontal="right"/>
    </xf>
    <xf numFmtId="10" fontId="4" fillId="0" borderId="0" xfId="0" applyNumberFormat="1" applyFont="1"/>
    <xf numFmtId="0" fontId="4" fillId="0" borderId="0" xfId="0" applyNumberFormat="1" applyFont="1"/>
    <xf numFmtId="1" fontId="4" fillId="0" borderId="0" xfId="0" applyNumberFormat="1" applyFont="1"/>
    <xf numFmtId="0" fontId="4" fillId="0" borderId="0" xfId="0" applyFont="1" applyAlignment="1">
      <alignment horizontal="right" indent="1"/>
    </xf>
    <xf numFmtId="164" fontId="4" fillId="0" borderId="0" xfId="0" applyNumberFormat="1" applyFont="1" applyAlignment="1">
      <alignment horizontal="right"/>
    </xf>
    <xf numFmtId="3" fontId="4" fillId="0" borderId="0" xfId="0" applyNumberFormat="1" applyFont="1" applyAlignment="1">
      <alignment horizontal="right"/>
    </xf>
    <xf numFmtId="0" fontId="11" fillId="3" borderId="0" xfId="0" applyFont="1" applyFill="1" applyAlignment="1">
      <alignment vertical="top" wrapText="1"/>
    </xf>
    <xf numFmtId="0" fontId="0" fillId="3" borderId="0" xfId="0" applyFill="1"/>
    <xf numFmtId="0" fontId="17" fillId="3" borderId="0" xfId="0" applyFont="1" applyFill="1"/>
    <xf numFmtId="0" fontId="11" fillId="3" borderId="0" xfId="0" applyFont="1" applyFill="1"/>
    <xf numFmtId="0" fontId="11" fillId="3" borderId="0" xfId="0" applyFont="1" applyFill="1" applyAlignment="1">
      <alignment vertical="top"/>
    </xf>
    <xf numFmtId="0" fontId="4" fillId="0" borderId="0" xfId="0" applyFont="1" applyAlignment="1">
      <alignment horizontal="left" indent="1"/>
    </xf>
    <xf numFmtId="0" fontId="19" fillId="0" borderId="0" xfId="0" applyFont="1"/>
    <xf numFmtId="0" fontId="4" fillId="0" borderId="0" xfId="0" applyNumberFormat="1" applyFont="1" applyAlignment="1">
      <alignment horizontal="right"/>
    </xf>
    <xf numFmtId="165" fontId="5" fillId="0" borderId="0" xfId="0" applyNumberFormat="1" applyFont="1"/>
    <xf numFmtId="4" fontId="5" fillId="0" borderId="0" xfId="0" applyNumberFormat="1" applyFont="1" applyAlignment="1">
      <alignment horizontal="right"/>
    </xf>
    <xf numFmtId="4" fontId="4" fillId="0" borderId="0" xfId="0" applyNumberFormat="1" applyFont="1"/>
    <xf numFmtId="0" fontId="4" fillId="0" borderId="0" xfId="0" applyFont="1" applyAlignment="1">
      <alignment horizontal="left"/>
    </xf>
    <xf numFmtId="10" fontId="4" fillId="0" borderId="0" xfId="0" applyNumberFormat="1" applyFont="1" applyAlignment="1">
      <alignment horizontal="right"/>
    </xf>
    <xf numFmtId="0" fontId="4" fillId="0" borderId="0" xfId="0" pivotButton="1" applyFont="1" applyAlignment="1">
      <alignment horizontal="left"/>
    </xf>
    <xf numFmtId="0" fontId="4" fillId="0" borderId="0" xfId="0" pivotButton="1" applyFont="1" applyAlignment="1"/>
    <xf numFmtId="166" fontId="5" fillId="0" borderId="0" xfId="0" applyNumberFormat="1" applyFont="1" applyAlignment="1">
      <alignment horizontal="right"/>
    </xf>
    <xf numFmtId="0" fontId="4" fillId="0" borderId="0" xfId="0" applyFont="1" applyAlignment="1">
      <alignment horizontal="center" wrapText="1"/>
    </xf>
  </cellXfs>
  <cellStyles count="8">
    <cellStyle name="Comma 2" xfId="2"/>
    <cellStyle name="Comma 3" xfId="4"/>
    <cellStyle name="Hyperlink" xfId="7" builtinId="8"/>
    <cellStyle name="Normal" xfId="0" builtinId="0"/>
    <cellStyle name="Normal 2" xfId="1"/>
    <cellStyle name="Normal 3" xfId="3"/>
    <cellStyle name="Normal 3 4 2" xfId="6"/>
    <cellStyle name="Percent 2" xfId="5"/>
  </cellStyles>
  <dxfs count="627"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font>
        <sz val="10"/>
      </font>
    </dxf>
    <dxf>
      <font>
        <b/>
      </font>
    </dxf>
    <dxf>
      <font>
        <b/>
      </font>
    </dxf>
    <dxf>
      <alignment horizontal="left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alignment horizontal="left" readingOrder="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lef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right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b/>
      </font>
    </dxf>
    <dxf>
      <font>
        <sz val="10"/>
      </font>
    </dxf>
    <dxf>
      <font>
        <b/>
      </font>
    </dxf>
    <dxf>
      <alignment horizontal="general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general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  <alignment horizontal="left" readingOrder="0"/>
    </dxf>
    <dxf>
      <numFmt numFmtId="3" formatCode="#,##0"/>
    </dxf>
    <dxf>
      <numFmt numFmtId="4" formatCode="#,##0.00"/>
      <alignment horizontal="left" readingOrder="0"/>
    </dxf>
    <dxf>
      <font>
        <sz val="10"/>
      </font>
    </dxf>
    <dxf>
      <font>
        <b/>
      </font>
    </dxf>
    <dxf>
      <font>
        <b/>
      </font>
    </dxf>
    <dxf>
      <font>
        <b/>
      </font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numFmt numFmtId="19" formatCode="d/mm/yyyy"/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4" formatCode="#,##0.00"/>
    </dxf>
    <dxf>
      <numFmt numFmtId="4" formatCode="#,##0.00"/>
    </dxf>
    <dxf>
      <numFmt numFmtId="164" formatCode="&quot;$&quot;#,##0.00"/>
    </dxf>
    <dxf>
      <alignment horizontal="right" readingOrder="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numFmt numFmtId="3" formatCode="#,##0"/>
    </dxf>
    <dxf>
      <numFmt numFmtId="164" formatCode="&quot;$&quot;#,##0.0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numFmt numFmtId="166" formatCode="0.000000"/>
    </dxf>
    <dxf>
      <alignment horizontal="right" readingOrder="0"/>
    </dxf>
    <dxf>
      <alignment horizontal="right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165" formatCode="0.0000"/>
    </dxf>
    <dxf>
      <numFmt numFmtId="165" formatCode="0.0000"/>
    </dxf>
    <dxf>
      <numFmt numFmtId="4" formatCode="#,##0.00"/>
    </dxf>
    <dxf>
      <numFmt numFmtId="4" formatCode="#,##0.00"/>
    </dxf>
    <dxf>
      <numFmt numFmtId="4" formatCode="#,##0.00"/>
    </dxf>
    <dxf>
      <numFmt numFmtId="14" formatCode="0.00%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numFmt numFmtId="14" formatCode="0.00%"/>
    </dxf>
    <dxf>
      <numFmt numFmtId="14" formatCode="0.00%"/>
    </dxf>
    <dxf>
      <numFmt numFmtId="3" formatCode="#,##0"/>
    </dxf>
    <dxf>
      <numFmt numFmtId="3" formatCode="#,##0"/>
    </dxf>
    <dxf>
      <numFmt numFmtId="167" formatCode="0.0000%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&quot;$&quot;#,##0.00"/>
    </dxf>
    <dxf>
      <font>
        <color theme="3" tint="-0.249977111117893"/>
      </font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3" formatCode="#,##0"/>
    </dxf>
    <dxf>
      <numFmt numFmtId="164" formatCode="&quot;$&quot;#,##0.00"/>
    </dxf>
    <dxf>
      <font>
        <color rgb="FFFF000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pivotCacheDefinition" Target="pivotCache/pivotCacheDefinition21.xml"/><Relationship Id="rId39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6.xml"/><Relationship Id="rId34" Type="http://schemas.openxmlformats.org/officeDocument/2006/relationships/pivotCacheDefinition" Target="pivotCache/pivotCacheDefinition29.xml"/><Relationship Id="rId42" Type="http://schemas.openxmlformats.org/officeDocument/2006/relationships/sheetMetadata" Target="metadata.xml"/><Relationship Id="rId7" Type="http://schemas.openxmlformats.org/officeDocument/2006/relationships/pivotCacheDefinition" Target="pivotCache/pivotCacheDefinition2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pivotCacheDefinition" Target="pivotCache/pivotCacheDefinition20.xml"/><Relationship Id="rId33" Type="http://schemas.openxmlformats.org/officeDocument/2006/relationships/pivotCacheDefinition" Target="pivotCache/pivotCacheDefinition28.xml"/><Relationship Id="rId38" Type="http://schemas.openxmlformats.org/officeDocument/2006/relationships/theme" Target="theme/theme1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0" Type="http://schemas.openxmlformats.org/officeDocument/2006/relationships/pivotCacheDefinition" Target="pivotCache/pivotCacheDefinition15.xml"/><Relationship Id="rId29" Type="http://schemas.openxmlformats.org/officeDocument/2006/relationships/pivotCacheDefinition" Target="pivotCache/pivotCacheDefinition24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ivotCacheDefinition" Target="pivotCache/pivotCacheDefinition6.xml"/><Relationship Id="rId24" Type="http://schemas.openxmlformats.org/officeDocument/2006/relationships/pivotCacheDefinition" Target="pivotCache/pivotCacheDefinition19.xml"/><Relationship Id="rId32" Type="http://schemas.openxmlformats.org/officeDocument/2006/relationships/pivotCacheDefinition" Target="pivotCache/pivotCacheDefinition27.xml"/><Relationship Id="rId37" Type="http://schemas.openxmlformats.org/officeDocument/2006/relationships/pivotCacheDefinition" Target="pivotCache/pivotCacheDefinition32.xml"/><Relationship Id="rId40" Type="http://schemas.openxmlformats.org/officeDocument/2006/relationships/styles" Target="style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pivotCacheDefinition" Target="pivotCache/pivotCacheDefinition23.xml"/><Relationship Id="rId36" Type="http://schemas.openxmlformats.org/officeDocument/2006/relationships/pivotCacheDefinition" Target="pivotCache/pivotCacheDefinition31.xml"/><Relationship Id="rId10" Type="http://schemas.openxmlformats.org/officeDocument/2006/relationships/pivotCacheDefinition" Target="pivotCache/pivotCacheDefinition5.xml"/><Relationship Id="rId19" Type="http://schemas.openxmlformats.org/officeDocument/2006/relationships/pivotCacheDefinition" Target="pivotCache/pivotCacheDefinition14.xml"/><Relationship Id="rId31" Type="http://schemas.openxmlformats.org/officeDocument/2006/relationships/pivotCacheDefinition" Target="pivotCache/pivotCacheDefinition26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pivotCacheDefinition" Target="pivotCache/pivotCacheDefinition22.xml"/><Relationship Id="rId30" Type="http://schemas.openxmlformats.org/officeDocument/2006/relationships/pivotCacheDefinition" Target="pivotCache/pivotCacheDefinition25.xml"/><Relationship Id="rId35" Type="http://schemas.openxmlformats.org/officeDocument/2006/relationships/pivotCacheDefinition" Target="pivotCache/pivotCacheDefinition30.xml"/><Relationship Id="rId43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33" Type="http://schemas.openxmlformats.org/officeDocument/2006/relationships/image" Target="../media/image1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29" Type="http://schemas.openxmlformats.org/officeDocument/2006/relationships/image" Target="../media/image3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2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31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28575</xdr:rowOff>
        </xdr:from>
        <xdr:to>
          <xdr:col>1</xdr:col>
          <xdr:colOff>2009775</xdr:colOff>
          <xdr:row>0</xdr:row>
          <xdr:rowOff>742950</xdr:rowOff>
        </xdr:to>
        <xdr:sp macro="" textlink="">
          <xdr:nvSpPr>
            <xdr:cNvPr id="1025" name="btnFilt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9</xdr:row>
          <xdr:rowOff>104775</xdr:rowOff>
        </xdr:from>
        <xdr:to>
          <xdr:col>2</xdr:col>
          <xdr:colOff>1819275</xdr:colOff>
          <xdr:row>9</xdr:row>
          <xdr:rowOff>419100</xdr:rowOff>
        </xdr:to>
        <xdr:sp macro="" textlink="">
          <xdr:nvSpPr>
            <xdr:cNvPr id="1028" name="btnptSummary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13</xdr:row>
          <xdr:rowOff>104775</xdr:rowOff>
        </xdr:from>
        <xdr:to>
          <xdr:col>2</xdr:col>
          <xdr:colOff>1819275</xdr:colOff>
          <xdr:row>13</xdr:row>
          <xdr:rowOff>419100</xdr:rowOff>
        </xdr:to>
        <xdr:sp macro="" textlink="">
          <xdr:nvSpPr>
            <xdr:cNvPr id="1029" name="btnptALRL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14</xdr:row>
          <xdr:rowOff>104775</xdr:rowOff>
        </xdr:from>
        <xdr:to>
          <xdr:col>2</xdr:col>
          <xdr:colOff>1819275</xdr:colOff>
          <xdr:row>14</xdr:row>
          <xdr:rowOff>419100</xdr:rowOff>
        </xdr:to>
        <xdr:sp macro="" textlink="">
          <xdr:nvSpPr>
            <xdr:cNvPr id="1030" name="btnptALRSS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15</xdr:row>
          <xdr:rowOff>104775</xdr:rowOff>
        </xdr:from>
        <xdr:to>
          <xdr:col>2</xdr:col>
          <xdr:colOff>1819275</xdr:colOff>
          <xdr:row>15</xdr:row>
          <xdr:rowOff>419100</xdr:rowOff>
        </xdr:to>
        <xdr:sp macro="" textlink="">
          <xdr:nvSpPr>
            <xdr:cNvPr id="1031" name="btnptALRCS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17</xdr:row>
          <xdr:rowOff>104775</xdr:rowOff>
        </xdr:from>
        <xdr:to>
          <xdr:col>2</xdr:col>
          <xdr:colOff>1819275</xdr:colOff>
          <xdr:row>17</xdr:row>
          <xdr:rowOff>419100</xdr:rowOff>
        </xdr:to>
        <xdr:sp macro="" textlink="">
          <xdr:nvSpPr>
            <xdr:cNvPr id="1032" name="btnptALRFL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18</xdr:row>
          <xdr:rowOff>104775</xdr:rowOff>
        </xdr:from>
        <xdr:to>
          <xdr:col>2</xdr:col>
          <xdr:colOff>1819275</xdr:colOff>
          <xdr:row>18</xdr:row>
          <xdr:rowOff>419100</xdr:rowOff>
        </xdr:to>
        <xdr:sp macro="" textlink="">
          <xdr:nvSpPr>
            <xdr:cNvPr id="1033" name="btnptALRFS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19</xdr:row>
          <xdr:rowOff>104775</xdr:rowOff>
        </xdr:from>
        <xdr:to>
          <xdr:col>2</xdr:col>
          <xdr:colOff>1819275</xdr:colOff>
          <xdr:row>19</xdr:row>
          <xdr:rowOff>419100</xdr:rowOff>
        </xdr:to>
        <xdr:sp macro="" textlink="">
          <xdr:nvSpPr>
            <xdr:cNvPr id="1034" name="btnptALRFC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22</xdr:row>
          <xdr:rowOff>104775</xdr:rowOff>
        </xdr:from>
        <xdr:to>
          <xdr:col>2</xdr:col>
          <xdr:colOff>1819275</xdr:colOff>
          <xdr:row>22</xdr:row>
          <xdr:rowOff>419100</xdr:rowOff>
        </xdr:to>
        <xdr:sp macro="" textlink="">
          <xdr:nvSpPr>
            <xdr:cNvPr id="1035" name="btnptCBD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23</xdr:row>
          <xdr:rowOff>104775</xdr:rowOff>
        </xdr:from>
        <xdr:to>
          <xdr:col>2</xdr:col>
          <xdr:colOff>1819275</xdr:colOff>
          <xdr:row>23</xdr:row>
          <xdr:rowOff>419100</xdr:rowOff>
        </xdr:to>
        <xdr:sp macro="" textlink="">
          <xdr:nvSpPr>
            <xdr:cNvPr id="1036" name="btnptCBLTV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24</xdr:row>
          <xdr:rowOff>104775</xdr:rowOff>
        </xdr:from>
        <xdr:to>
          <xdr:col>2</xdr:col>
          <xdr:colOff>1819275</xdr:colOff>
          <xdr:row>24</xdr:row>
          <xdr:rowOff>419100</xdr:rowOff>
        </xdr:to>
        <xdr:sp macro="" textlink="">
          <xdr:nvSpPr>
            <xdr:cNvPr id="1037" name="btnptMR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25</xdr:row>
          <xdr:rowOff>104775</xdr:rowOff>
        </xdr:from>
        <xdr:to>
          <xdr:col>2</xdr:col>
          <xdr:colOff>1819275</xdr:colOff>
          <xdr:row>25</xdr:row>
          <xdr:rowOff>419100</xdr:rowOff>
        </xdr:to>
        <xdr:sp macro="" textlink="">
          <xdr:nvSpPr>
            <xdr:cNvPr id="1038" name="btnptSD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26</xdr:row>
          <xdr:rowOff>104775</xdr:rowOff>
        </xdr:from>
        <xdr:to>
          <xdr:col>2</xdr:col>
          <xdr:colOff>1819275</xdr:colOff>
          <xdr:row>26</xdr:row>
          <xdr:rowOff>419100</xdr:rowOff>
        </xdr:to>
        <xdr:sp macro="" textlink="">
          <xdr:nvSpPr>
            <xdr:cNvPr id="1039" name="btnptIOEDRP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27</xdr:row>
          <xdr:rowOff>104775</xdr:rowOff>
        </xdr:from>
        <xdr:to>
          <xdr:col>2</xdr:col>
          <xdr:colOff>1819275</xdr:colOff>
          <xdr:row>27</xdr:row>
          <xdr:rowOff>419100</xdr:rowOff>
        </xdr:to>
        <xdr:sp macro="" textlink="">
          <xdr:nvSpPr>
            <xdr:cNvPr id="1040" name="btnptCBLLTVD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28</xdr:row>
          <xdr:rowOff>104775</xdr:rowOff>
        </xdr:from>
        <xdr:to>
          <xdr:col>2</xdr:col>
          <xdr:colOff>1819275</xdr:colOff>
          <xdr:row>28</xdr:row>
          <xdr:rowOff>419100</xdr:rowOff>
        </xdr:to>
        <xdr:sp macro="" textlink="">
          <xdr:nvSpPr>
            <xdr:cNvPr id="1041" name="btnptAD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30</xdr:row>
          <xdr:rowOff>104775</xdr:rowOff>
        </xdr:from>
        <xdr:to>
          <xdr:col>2</xdr:col>
          <xdr:colOff>1819275</xdr:colOff>
          <xdr:row>30</xdr:row>
          <xdr:rowOff>419100</xdr:rowOff>
        </xdr:to>
        <xdr:sp macro="" textlink="">
          <xdr:nvSpPr>
            <xdr:cNvPr id="1042" name="btnptRCD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31</xdr:row>
          <xdr:rowOff>104775</xdr:rowOff>
        </xdr:from>
        <xdr:to>
          <xdr:col>2</xdr:col>
          <xdr:colOff>1819275</xdr:colOff>
          <xdr:row>31</xdr:row>
          <xdr:rowOff>419100</xdr:rowOff>
        </xdr:to>
        <xdr:sp macro="" textlink="">
          <xdr:nvSpPr>
            <xdr:cNvPr id="1043" name="btnptIRT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32</xdr:row>
          <xdr:rowOff>104775</xdr:rowOff>
        </xdr:from>
        <xdr:to>
          <xdr:col>2</xdr:col>
          <xdr:colOff>1819275</xdr:colOff>
          <xdr:row>32</xdr:row>
          <xdr:rowOff>419100</xdr:rowOff>
        </xdr:to>
        <xdr:sp macro="" textlink="">
          <xdr:nvSpPr>
            <xdr:cNvPr id="1044" name="btnptMSOPBD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33</xdr:row>
          <xdr:rowOff>104775</xdr:rowOff>
        </xdr:from>
        <xdr:to>
          <xdr:col>2</xdr:col>
          <xdr:colOff>1819275</xdr:colOff>
          <xdr:row>33</xdr:row>
          <xdr:rowOff>419100</xdr:rowOff>
        </xdr:to>
        <xdr:sp macro="" textlink="">
          <xdr:nvSpPr>
            <xdr:cNvPr id="1045" name="btnptMSOPBC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34</xdr:row>
          <xdr:rowOff>104775</xdr:rowOff>
        </xdr:from>
        <xdr:to>
          <xdr:col>2</xdr:col>
          <xdr:colOff>1819275</xdr:colOff>
          <xdr:row>34</xdr:row>
          <xdr:rowOff>419100</xdr:rowOff>
        </xdr:to>
        <xdr:sp macro="" textlink="">
          <xdr:nvSpPr>
            <xdr:cNvPr id="1046" name="btnptSLD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35</xdr:row>
          <xdr:rowOff>104775</xdr:rowOff>
        </xdr:from>
        <xdr:to>
          <xdr:col>2</xdr:col>
          <xdr:colOff>1819275</xdr:colOff>
          <xdr:row>35</xdr:row>
          <xdr:rowOff>419100</xdr:rowOff>
        </xdr:to>
        <xdr:sp macro="" textlink="">
          <xdr:nvSpPr>
            <xdr:cNvPr id="1047" name="btnptMID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37</xdr:row>
          <xdr:rowOff>104775</xdr:rowOff>
        </xdr:from>
        <xdr:to>
          <xdr:col>2</xdr:col>
          <xdr:colOff>1819275</xdr:colOff>
          <xdr:row>37</xdr:row>
          <xdr:rowOff>419100</xdr:rowOff>
        </xdr:to>
        <xdr:sp macro="" textlink="">
          <xdr:nvSpPr>
            <xdr:cNvPr id="1048" name="btnptPT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39</xdr:row>
          <xdr:rowOff>104775</xdr:rowOff>
        </xdr:from>
        <xdr:to>
          <xdr:col>2</xdr:col>
          <xdr:colOff>1819275</xdr:colOff>
          <xdr:row>39</xdr:row>
          <xdr:rowOff>419100</xdr:rowOff>
        </xdr:to>
        <xdr:sp macro="" textlink="">
          <xdr:nvSpPr>
            <xdr:cNvPr id="1049" name="btnptMSSD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40</xdr:row>
          <xdr:rowOff>104775</xdr:rowOff>
        </xdr:from>
        <xdr:to>
          <xdr:col>2</xdr:col>
          <xdr:colOff>1819275</xdr:colOff>
          <xdr:row>40</xdr:row>
          <xdr:rowOff>419100</xdr:rowOff>
        </xdr:to>
        <xdr:sp macro="" textlink="">
          <xdr:nvSpPr>
            <xdr:cNvPr id="1050" name="btnptMSRD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42</xdr:row>
          <xdr:rowOff>104775</xdr:rowOff>
        </xdr:from>
        <xdr:to>
          <xdr:col>2</xdr:col>
          <xdr:colOff>1819275</xdr:colOff>
          <xdr:row>42</xdr:row>
          <xdr:rowOff>419100</xdr:rowOff>
        </xdr:to>
        <xdr:sp macro="" textlink="">
          <xdr:nvSpPr>
            <xdr:cNvPr id="1051" name="btnptPD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44</xdr:row>
          <xdr:rowOff>104775</xdr:rowOff>
        </xdr:from>
        <xdr:to>
          <xdr:col>2</xdr:col>
          <xdr:colOff>1819275</xdr:colOff>
          <xdr:row>44</xdr:row>
          <xdr:rowOff>419100</xdr:rowOff>
        </xdr:to>
        <xdr:sp macro="" textlink="">
          <xdr:nvSpPr>
            <xdr:cNvPr id="1052" name="btnptRYOM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47</xdr:row>
          <xdr:rowOff>104775</xdr:rowOff>
        </xdr:from>
        <xdr:to>
          <xdr:col>2</xdr:col>
          <xdr:colOff>1819275</xdr:colOff>
          <xdr:row>47</xdr:row>
          <xdr:rowOff>419100</xdr:rowOff>
        </xdr:to>
        <xdr:sp macro="" textlink="">
          <xdr:nvSpPr>
            <xdr:cNvPr id="1053" name="btnptFRYOM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50</xdr:row>
          <xdr:rowOff>104775</xdr:rowOff>
        </xdr:from>
        <xdr:to>
          <xdr:col>2</xdr:col>
          <xdr:colOff>1819275</xdr:colOff>
          <xdr:row>50</xdr:row>
          <xdr:rowOff>419100</xdr:rowOff>
        </xdr:to>
        <xdr:sp macro="" textlink="">
          <xdr:nvSpPr>
            <xdr:cNvPr id="1054" name="btnptFRRDBYM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52</xdr:row>
          <xdr:rowOff>104775</xdr:rowOff>
        </xdr:from>
        <xdr:to>
          <xdr:col>2</xdr:col>
          <xdr:colOff>1819275</xdr:colOff>
          <xdr:row>52</xdr:row>
          <xdr:rowOff>419100</xdr:rowOff>
        </xdr:to>
        <xdr:sp macro="" textlink="">
          <xdr:nvSpPr>
            <xdr:cNvPr id="1055" name="btnptReportsDT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66675</xdr:rowOff>
        </xdr:from>
        <xdr:to>
          <xdr:col>4</xdr:col>
          <xdr:colOff>971550</xdr:colOff>
          <xdr:row>8</xdr:row>
          <xdr:rowOff>447675</xdr:rowOff>
        </xdr:to>
        <xdr:sp macro="" textlink="">
          <xdr:nvSpPr>
            <xdr:cNvPr id="1056" name="btnRefreshAll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10</xdr:row>
          <xdr:rowOff>104775</xdr:rowOff>
        </xdr:from>
        <xdr:to>
          <xdr:col>2</xdr:col>
          <xdr:colOff>1819275</xdr:colOff>
          <xdr:row>10</xdr:row>
          <xdr:rowOff>419100</xdr:rowOff>
        </xdr:to>
        <xdr:sp macro="" textlink="">
          <xdr:nvSpPr>
            <xdr:cNvPr id="1058" name="btnptPULBTSummary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45</xdr:row>
          <xdr:rowOff>104775</xdr:rowOff>
        </xdr:from>
        <xdr:to>
          <xdr:col>2</xdr:col>
          <xdr:colOff>1819275</xdr:colOff>
          <xdr:row>45</xdr:row>
          <xdr:rowOff>419100</xdr:rowOff>
        </xdr:to>
        <xdr:sp macro="" textlink="">
          <xdr:nvSpPr>
            <xdr:cNvPr id="1059" name="btnptRTTM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48</xdr:row>
          <xdr:rowOff>104775</xdr:rowOff>
        </xdr:from>
        <xdr:to>
          <xdr:col>2</xdr:col>
          <xdr:colOff>1819275</xdr:colOff>
          <xdr:row>48</xdr:row>
          <xdr:rowOff>419100</xdr:rowOff>
        </xdr:to>
        <xdr:sp macro="" textlink="">
          <xdr:nvSpPr>
            <xdr:cNvPr id="1060" name="btnptFRERT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125" backgroundQuery="1" createdVersion="3" refreshedVersion="4" minRefreshableVersion="3" recordCount="0" supportSubquery="1" supportAdvancedDrill="1">
  <cacheSource type="external" connectionId="1"/>
  <cacheFields count="15">
    <cacheField name="[Dimension Loan].[Product Description].[Product Description]" caption="Product Description" numFmtId="0" hierarchy="64" level="1">
      <sharedItems count="16">
        <s v="[Dimension Loan].[Product Description].&amp;[First Option Home Loan - MSS]" c="First Option Home Loan - MSS"/>
        <s v="[Dimension Loan].[Product Description].&amp;[Fixed Option Home Loan - Low Doc]" c="Fixed Option Home Loan - Low Doc"/>
        <s v="[Dimension Loan].[Product Description].&amp;[Fixed Option Home Loan - MSS]" c="Fixed Option Home Loan - MSS"/>
        <s v="[Dimension Loan].[Product Description].&amp;[Flexi First Option Home Loan]" c="Flexi First Option Home Loan"/>
        <s v="[Dimension Loan].[Product Description].&amp;[Flexi First Option Investment Loan]" c="Flexi First Option Investment Loan"/>
        <s v="[Dimension Loan].[Product Description].&amp;[IPL - First Option - MSS]" c="IPL - First Option - MSS"/>
        <s v="[Dimension Loan].[Product Description].&amp;[IPL - Fixed Rate - Low Doc]" c="IPL - Fixed Rate - Low Doc"/>
        <s v="[Dimension Loan].[Product Description].&amp;[IPL - Fixed Rate - MSS]" c="IPL - Fixed Rate - MSS"/>
        <s v="[Dimension Loan].[Product Description].&amp;[IPL - Variable Rate - Low Doc]" c="IPL - Variable Rate - Low Doc"/>
        <s v="[Dimension Loan].[Product Description].&amp;[IPL - Variable Rate - MSS]" c="IPL - Variable Rate - MSS"/>
        <s v="[Dimension Loan].[Product Description].&amp;[Premium Option Home Loan - Low Doc]" c="Premium Option Home Loan - Low Doc"/>
        <s v="[Dimension Loan].[Product Description].&amp;[Premium Option Home Loan - MSS]" c="Premium Option Home Loan - MSS"/>
        <s v="[Dimension Loan].[Product Description].&amp;[Rocket - Housing Loan Variable - Low Doc]" c="Rocket - Housing Loan Variable - Low Doc"/>
        <s v="[Dimension Loan].[Product Description].&amp;[Rocket - Housing Loan Variable - MSS]" c="Rocket - Housing Loan Variable - MSS"/>
        <s v="[Dimension Loan].[Product Description].&amp;[Rocket - Variable - IPL - Low Doc]" c="Rocket - Variable - IPL - Low Doc"/>
        <s v="[Dimension Loan].[Product Description].&amp;[Rocket - Variable - IPL - MSS]" c="Rocket - Variable - IPL - MSS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2" unbalanced="0">
      <fieldsUsage count="2">
        <fieldUsage x="-1"/>
        <fieldUsage x="0"/>
      </fieldsUsage>
    </cacheHierarchy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78587966" backgroundQuery="1" createdVersion="3" refreshedVersion="4" minRefreshableVersion="3" recordCount="0" supportSubquery="1" supportAdvancedDrill="1">
  <cacheSource type="external" connectionId="1"/>
  <cacheFields count="27"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State Main Security Loan Number Portion Percentage]" caption="State Main Security Loan Number Portion Percentage" numFmtId="0" hierarchy="177" level="32767"/>
    <cacheField name="[Measures].[State Main Security Loan Balance Portion Percentage]" caption="State Main Security Loan Balance Portion Percentage" numFmtId="0" hierarchy="178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Main Security].[Geography - Region].[Country Code]" caption="Country Code" numFmtId="0" hierarchy="76" level="1">
      <sharedItems count="1">
        <s v="[Dimension Main Security].[Geography - Region].[Country Code].&amp;[AUS]" c="AUS"/>
      </sharedItems>
    </cacheField>
    <cacheField name="[Dimension Main Security].[Geography - Region].[Region]" caption="Region" numFmtId="0" hierarchy="76" level="3">
      <sharedItems containsSemiMixedTypes="0" containsString="0"/>
    </cacheField>
    <cacheField name="[Dimension Main Security].[Geography - Region].[Dim Security ID]" caption="Dim Security ID" numFmtId="0" hierarchy="76" level="4">
      <sharedItems containsSemiMixedTypes="0" containsString="0"/>
    </cacheField>
    <cacheField name="[Dimension Main Security].[Geography - Region].[Region].[Country Code]" caption="Country Code" propertyName="Country Code" numFmtId="0" hierarchy="76" level="3" memberPropertyField="1">
      <sharedItems containsSemiMixedTypes="0" containsString="0"/>
    </cacheField>
    <cacheField name="[Dimension Main Security].[Geography - Region].[Dim Security ID].[Dim Pool ID]" caption="Dim Pool ID" propertyName="Dim Pool ID" numFmtId="0" hierarchy="76" level="4" memberPropertyField="1">
      <sharedItems containsSemiMixedTypes="0" containsString="0"/>
    </cacheField>
    <cacheField name="[Dimension Main Security].[Geography - Region].[Dim Security ID].[Occupancy Purpose Code]" caption="Occupancy Purpose Code" propertyName="Occupancy Purpose Code" numFmtId="0" hierarchy="76" level="4" memberPropertyField="1">
      <sharedItems containsSemiMixedTypes="0" containsString="0"/>
    </cacheField>
    <cacheField name="[Dimension Main Security].[Geography - Region].[Dim Security ID].[Occupancy Purpose Desc]" caption="Occupancy Purpose Desc" propertyName="Occupancy Purpose Desc" numFmtId="0" hierarchy="76" level="4" memberPropertyField="1">
      <sharedItems containsSemiMixedTypes="0" containsString="0"/>
    </cacheField>
    <cacheField name="[Dimension Main Security].[Geography - Region].[Dim Security ID].[Property Type Code]" caption="Property Type Code" propertyName="Property Type Code" numFmtId="0" hierarchy="76" level="4" memberPropertyField="1">
      <sharedItems containsSemiMixedTypes="0" containsString="0"/>
    </cacheField>
    <cacheField name="[Dimension Main Security].[Geography - Region].[Dim Security ID].[Property Type Desc]" caption="Property Type Desc" propertyName="Property Type Desc" numFmtId="0" hierarchy="76" level="4" memberPropertyField="1">
      <sharedItems containsSemiMixedTypes="0" containsString="0"/>
    </cacheField>
    <cacheField name="[Dimension Main Security].[Geography - Region].[Dim Security ID].[Region]" caption="Region" propertyName="Region" numFmtId="0" hierarchy="76" level="4" memberPropertyField="1">
      <sharedItems containsSemiMixedTypes="0" containsString="0"/>
    </cacheField>
    <cacheField name="[Dimension Main Security].[Geography - Region].[Dim Security ID].[State]" caption="State" propertyName="State" numFmtId="0" hierarchy="76" level="4" memberPropertyField="1">
      <sharedItems containsSemiMixedTypes="0" containsString="0"/>
    </cacheField>
    <cacheField name="[Dimension Main Security].[Geography - Region].[Dim Security ID].[Suburb]" caption="Suburb" propertyName="Suburb" numFmtId="0" hierarchy="76" level="4" memberPropertyField="1">
      <sharedItems containsSemiMixedTypes="0" containsString="0"/>
    </cacheField>
    <cacheField name="[Dimension Main Security].[Geography - Region].[Country Code1]" caption="Country Code1" numFmtId="0" hierarchy="76" level="2">
      <sharedItems count="9">
        <s v="[Dimension Main Security].[Geography - Region].[Country Code1].[OTHERMEMBER.[Dimension Main Security]].[Geography - Region]].[Country Code]].&amp;[AUS]]]" c="Other"/>
        <s v="[Dimension Main Security].[Geography - Region].[Country Code1].[GROUPMEMBER.[RegionXl_Grp_1]].[Dimension Main Security]].[Geography - Region]].[Country Code]].&amp;[AUS]]]" c="Group1"/>
        <s v="[Dimension Main Security].[Geography - Region].[Country Code1].[GROUPMEMBER.[RegionXl_Grp_2]].[Dimension Main Security]].[Geography - Region]].[Country Code]].&amp;[AUS]]]" c="Group2"/>
        <s v="[Dimension Main Security].[Geography - Region].[Country Code1].[GROUPMEMBER.[RegionXl_Grp_3]].[Dimension Main Security]].[Geography - Region]].[Country Code]].&amp;[AUS]]]" c="Group3"/>
        <s v="[Dimension Main Security].[Geography - Region].[Country Code1].[GROUPMEMBER.[RegionXl_Grp_4]].[Dimension Main Security]].[Geography - Region]].[Country Code]].&amp;[AUS]]]" c="Group4"/>
        <s v="[Dimension Main Security].[Geography - Region].[Country Code1].[GROUPMEMBER.[RegionXl_Grp_5]].[Dimension Main Security]].[Geography - Region]].[Country Code]].&amp;[AUS]]]" c="Group5"/>
        <s v="[Dimension Main Security].[Geography - Region].[Country Code1].[GROUPMEMBER.[RegionXl_Grp_6]].[Dimension Main Security]].[Geography - Region]].[Country Code]].&amp;[AUS]]]" c="Group6"/>
        <s v="[Dimension Main Security].[Geography - Region].[Country Code1].[GROUPMEMBER.[RegionXl_Grp_7]].[Dimension Main Security]].[Geography - Region]].[Country Code]].&amp;[AUS]]]" c="Group7"/>
        <s v="[Dimension Main Security].[Geography - Region].[Country Code1].[GROUPMEMBER.[RegionXl_Grp_8]].[Dimension Main Security]].[Geography - Region]].[Country Code]].&amp;[AUS]]]" c="Group8"/>
      </sharedItems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18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Group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Group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Group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Group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Group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Group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Group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Group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Group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Group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Group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Group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Group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Group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Group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Group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Group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Group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Group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Group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Group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Group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Group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Group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Group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Group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Group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Group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Group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Group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Group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Group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Group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Group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Group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Group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Group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Group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Group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Group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Group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Group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Group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Group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Group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Group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Group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Group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Group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Group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Group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Group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Group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Group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Group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Group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Group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Group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Group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Group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Group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Group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Group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Group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Group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Group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Group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Group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Group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Group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Group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Group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Group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Group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Group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Group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5" unbalanced="0" unbalancedGroup="0">
      <fieldsUsage count="5">
        <fieldUsage x="-1"/>
        <fieldUsage x="13"/>
        <fieldUsage x="25"/>
        <fieldUsage x="14"/>
        <fieldUsage x="15"/>
      </fieldsUsage>
      <groupLevels count="5">
        <groupLevel uniqueName="[Dimension Main Security].[Geography - Region].[(All)]" caption="(All)"/>
        <groupLevel uniqueName="[Dimension Main Security].[Geography - Region].[Country Code]" caption="Country Code"/>
        <groupLevel uniqueName="[Dimension Main Security].[Geography - Region].[Country Code1]" caption="Country Code1" user="1"/>
        <groupLevel uniqueName="[Dimension Main Security].[Geography - Region].[Region]" caption="Region">
          <groups count="8">
            <group name="RegionXl_Grp_1" uniqueName="[Dimension Main Security].[Geography - Region].[Country Code1].[GROUPMEMBER.[RegionXl_Grp_1]].[Dimension Main Security]].[Geography - Region]].[Country Code]].&amp;[AUS]]]" caption="Group1" uniqueParent="[Dimension Main Security].[Geography - Region].[Country Code].&amp;[AUS]" id="1">
              <groupMembers count="1">
                <groupMember uniqueName="[Dimension Main Security].[Geography - Region].[Region].&amp;[Australian Capital Territory - Metropolitan]&amp;[AUS]"/>
              </groupMembers>
            </group>
            <group name="RegionXl_Grp_2" uniqueName="[Dimension Main Security].[Geography - Region].[Country Code1].[GROUPMEMBER.[RegionXl_Grp_2]].[Dimension Main Security]].[Geography - Region]].[Country Code]].&amp;[AUS]]]" caption="Group2" uniqueParent="[Dimension Main Security].[Geography - Region].[Country Code].&amp;[AUS]" id="2">
              <groupMembers count="2">
                <groupMember uniqueName="[Dimension Main Security].[Geography - Region].[Region].&amp;[New South Wales - Other]&amp;[AUS]"/>
                <groupMember uniqueName="[Dimension Main Security].[Geography - Region].[Region].&amp;[New South Wales - Sydney Metropolitan]&amp;[AUS]"/>
              </groupMembers>
            </group>
            <group name="RegionXl_Grp_3" uniqueName="[Dimension Main Security].[Geography - Region].[Country Code1].[GROUPMEMBER.[RegionXl_Grp_3]].[Dimension Main Security]].[Geography - Region]].[Country Code]].&amp;[AUS]]]" caption="Group3" uniqueParent="[Dimension Main Security].[Geography - Region].[Country Code].&amp;[AUS]" id="3">
              <groupMembers count="3">
                <groupMember uniqueName="[Dimension Main Security].[Geography - Region].[Region].&amp;[Northern Territory - Darwin Metropolitan]&amp;[AUS]"/>
                <groupMember uniqueName="[Dimension Main Security].[Geography - Region].[Region].&amp;[Northern Territory - Metropolitan]&amp;[AUS]"/>
                <groupMember uniqueName="[Dimension Main Security].[Geography - Region].[Region].&amp;[Northern Territory - Other]&amp;[AUS]"/>
              </groupMembers>
            </group>
            <group name="RegionXl_Grp_4" uniqueName="[Dimension Main Security].[Geography - Region].[Country Code1].[GROUPMEMBER.[RegionXl_Grp_4]].[Dimension Main Security]].[Geography - Region]].[Country Code]].&amp;[AUS]]]" caption="Group4" uniqueParent="[Dimension Main Security].[Geography - Region].[Country Code].&amp;[AUS]" id="4">
              <groupMembers count="2">
                <groupMember uniqueName="[Dimension Main Security].[Geography - Region].[Region].&amp;[Queensland - Brisbane Metropolitan]&amp;[AUS]"/>
                <groupMember uniqueName="[Dimension Main Security].[Geography - Region].[Region].&amp;[Queensland - Other]&amp;[AUS]"/>
              </groupMembers>
            </group>
            <group name="RegionXl_Grp_5" uniqueName="[Dimension Main Security].[Geography - Region].[Country Code1].[GROUPMEMBER.[RegionXl_Grp_5]].[Dimension Main Security]].[Geography - Region]].[Country Code]].&amp;[AUS]]]" caption="Group5" uniqueParent="[Dimension Main Security].[Geography - Region].[Country Code].&amp;[AUS]" id="5">
              <groupMembers count="2">
                <groupMember uniqueName="[Dimension Main Security].[Geography - Region].[Region].&amp;[South Australia - Adelaide Metropolitan]&amp;[AUS]"/>
                <groupMember uniqueName="[Dimension Main Security].[Geography - Region].[Region].&amp;[South Australia - Other]&amp;[AUS]"/>
              </groupMembers>
            </group>
            <group name="RegionXl_Grp_6" uniqueName="[Dimension Main Security].[Geography - Region].[Country Code1].[GROUPMEMBER.[RegionXl_Grp_6]].[Dimension Main Security]].[Geography - Region]].[Country Code]].&amp;[AUS]]]" caption="Group6" uniqueParent="[Dimension Main Security].[Geography - Region].[Country Code].&amp;[AUS]" id="6">
              <groupMembers count="2">
                <groupMember uniqueName="[Dimension Main Security].[Geography - Region].[Region].&amp;[Tasmania - Hobart Metropolitan]&amp;[AUS]"/>
                <groupMember uniqueName="[Dimension Main Security].[Geography - Region].[Region].&amp;[Tasmania - Other]&amp;[AUS]"/>
              </groupMembers>
            </group>
            <group name="RegionXl_Grp_7" uniqueName="[Dimension Main Security].[Geography - Region].[Country Code1].[GROUPMEMBER.[RegionXl_Grp_7]].[Dimension Main Security]].[Geography - Region]].[Country Code]].&amp;[AUS]]]" caption="Group7" uniqueParent="[Dimension Main Security].[Geography - Region].[Country Code].&amp;[AUS]" id="7">
              <groupMembers count="2">
                <groupMember uniqueName="[Dimension Main Security].[Geography - Region].[Region].&amp;[Victoria - Metropolitan]&amp;[AUS]"/>
                <groupMember uniqueName="[Dimension Main Security].[Geography - Region].[Region].&amp;[Victoria - Other]&amp;[AUS]"/>
              </groupMembers>
            </group>
            <group name="RegionXl_Grp_8" uniqueName="[Dimension Main Security].[Geography - Region].[Country Code1].[GROUPMEMBER.[RegionXl_Grp_8]].[Dimension Main Security]].[Geography - Region]].[Country Code]].&amp;[AUS]]]" caption="Group8" uniqueParent="[Dimension Main Security].[Geography - Region].[Country Code].&amp;[AUS]" id="8">
              <groupMembers count="2">
                <groupMember uniqueName="[Dimension Main Security].[Geography - Region].[Region].&amp;[Western Australia - Other]&amp;[AUS]"/>
                <groupMember uniqueName="[Dimension Main Security].[Geography - Region].[Region].&amp;[Western Australia - Perth Metropolitan]&amp;[AUS]"/>
              </groupMembers>
            </group>
          </groups>
        </groupLevel>
        <groupLevel uniqueName="[Dimension Main Security].[Geography - Region].[Dim Security ID]" caption="Dim Security ID"/>
      </groupLevels>
    </cacheHierarchy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Group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Group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Group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Group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Group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Group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Group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Group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Group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Group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Group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Group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Group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Group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Group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Group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Group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Group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Group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Group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Group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 unbalancedGroup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 unbalancedGroup="0">
      <fieldsUsage count="2">
        <fieldUsage x="-1"/>
        <fieldUsage x="8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Group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Group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Group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Group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Group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Group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Group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Group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Group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Group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Group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Group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Group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Group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Group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Group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Group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Group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Group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Group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Group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Group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Group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 unbalancedGroup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Group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Group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Group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Group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Group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Group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 unbalancedGroup="0">
      <fieldsUsage count="2">
        <fieldUsage x="-1"/>
        <fieldUsage x="26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Group="0" hidden="1"/>
    <cacheHierarchy uniqueName="[Dimension Main Security].[Country Code1]" caption="Country Code1" attribute="1" defaultMemberUniqueName="[Dimension Main Security].[Country Code1].[All]" allUniqueName="[Dimension Main Security].[Country Code1].[All]" dimensionUniqueName="[Dimension Main Security]" displayFolder="" count="0" unbalancedGroup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Group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Group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 oneField="1">
      <fieldsUsage count="1">
        <fieldUsage x="6"/>
      </fieldsUsage>
    </cacheHierarchy>
    <cacheHierarchy uniqueName="[Measures].[State Main Security Loan Balance Portion Percentage]" caption="State Main Security Loan Balance Portion Percentage" measure="1" displayFolder="" measureGroup="Fact Loan" count="0" oneField="1">
      <fieldsUsage count="1">
        <fieldUsage x="7"/>
      </fieldsUsage>
    </cacheHierarchy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8449074" backgroundQuery="1" createdVersion="3" refreshedVersion="4" minRefreshableVersion="3" recordCount="0" supportSubquery="1" supportAdvancedDrill="1">
  <cacheSource type="external" connectionId="1"/>
  <cacheFields count="15">
    <cacheField name="[Dimension Loan].[Mortgage Insurer Desc].[Mortgage Insurer Desc]" caption="Mortgage Insurer Desc" numFmtId="0" hierarchy="61" level="1">
      <sharedItems count="8">
        <s v="[Dimension Loan].[Mortgage Insurer Desc].&amp;[GEMICO]" c="GEMICO"/>
        <s v="[Dimension Loan].[Mortgage Insurer Desc].&amp;[GEMICO WST2002]" c="GEMICO WST2002"/>
        <s v="[Dimension Loan].[Mortgage Insurer Desc].&amp;[Genworth]" c="Genworth"/>
        <s v="[Dimension Loan].[Mortgage Insurer Desc].&amp;[HLIC]" c="HLIC"/>
        <s v="[Dimension Loan].[Mortgage Insurer Desc].&amp;[No Insurance]" c="No Insurance"/>
        <s v="[Dimension Loan].[Mortgage Insurer Desc].&amp;[PMI]" c="PMI"/>
        <s v="[Dimension Loan].[Mortgage Insurer Desc].&amp;[Sun Alliance]" c="Sun Alliance"/>
        <s v="[Dimension Loan].[Mortgage Insurer Desc].&amp;[WLMI]" c="WLMI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2" unbalanced="0">
      <fieldsUsage count="2">
        <fieldUsage x="-1"/>
        <fieldUsage x="0"/>
      </fieldsUsage>
    </cacheHierarchy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87384257" backgroundQuery="1" createdVersion="4" refreshedVersion="4" minRefreshableVersion="3" recordCount="0" supportSubquery="1" supportAdvancedDrill="1">
  <cacheSource type="external" connectionId="1"/>
  <cacheFields count="14"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Main Security].[Occupancy Purpose Code].[Occupancy Purpose Code]" caption="Occupancy Purpose Code" numFmtId="0" hierarchy="78" level="1">
      <sharedItems count="4">
        <s v="[Dimension Main Security].[Occupancy Purpose Code].&amp;[00]" c="00"/>
        <s v="[Dimension Main Security].[Occupancy Purpose Code].&amp;[01]" c="01"/>
        <s v="[Dimension Main Security].[Occupancy Purpose Code].&amp;[02]" c="02"/>
        <s v="[Dimension Main Security].[Occupancy Purpose Code].&amp;[03]" c="03"/>
      </sharedItems>
    </cacheField>
    <cacheField name="[Measures].[Fact Loan Count]" caption="Fact Loan Count" numFmtId="0" hierarchy="134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2" unbalanced="0">
      <fieldsUsage count="2">
        <fieldUsage x="-1"/>
        <fieldUsage x="6"/>
      </fieldsUsage>
    </cacheHierarchy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3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7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9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1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2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0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3171299" backgroundQuery="1" createdVersion="3" refreshedVersion="4" minRefreshableVersion="3" recordCount="0" supportSubquery="1" supportAdvancedDrill="1">
  <cacheSource type="external" connectionId="1"/>
  <cacheFields count="16">
    <cacheField name="[Dimension Days In Arrears Distribution].[Distributions Desc].[Distributions Desc]" caption="Distributions Desc" numFmtId="0" hierarchy="40" level="1" mappingCount="1">
      <sharedItems count="2">
        <s v="[Dimension Days In Arrears Distribution].[Distributions Desc].&amp;[3070]" c="Current" cp="1">
          <x/>
        </s>
        <s v="[Dimension Days In Arrears Distribution].[Distributions Desc].&amp;[3071]" c="&gt; 0 - &lt;= 30 days" cp="1">
          <x v="1"/>
        </s>
      </sharedItems>
      <mpMap v="14"/>
    </cacheField>
    <cacheField name="[Measures].[Fact Loan Count]" caption="Fact Loan Count" numFmtId="0" hierarchy="134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Days In Arrears Distribution].[Distributions Desc].[Distributions Desc].[Sort Key]" caption="Sort Key" propertyName="Sort Key" numFmtId="0" hierarchy="40" level="1" memberPropertyField="1">
      <sharedItems containsSemiMixedTypes="0" containsString="0" containsNumber="1" containsInteger="1" minValue="10" maxValue="20" count="2">
        <n v="10"/>
        <n v="2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2" unbalanced="0">
      <fieldsUsage count="2">
        <fieldUsage x="-1"/>
        <fieldUsage x="0"/>
      </fieldsUsage>
    </cacheHierarchy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5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6180555" backgroundQuery="1" createdVersion="3" refreshedVersion="4" minRefreshableVersion="3" recordCount="0" supportSubquery="1" supportAdvancedDrill="1">
  <cacheSource type="external" connectionId="1"/>
  <cacheFields count="16">
    <cacheField name="[Dimension IO Remaining Term Distribution].[Distributions Desc].[Distributions Desc]" caption="Distributions Desc" numFmtId="0" hierarchy="52" level="1" mappingCount="1">
      <sharedItems count="10">
        <s v="[Dimension IO Remaining Term Distribution].[Distributions Desc].&amp;[0]" c="Unknown" cp="1">
          <x/>
        </s>
        <s v="[Dimension IO Remaining Term Distribution].[Distributions Desc].&amp;[117]" c="&lt; = 3 Mths" cp="1">
          <x v="1"/>
        </s>
        <s v="[Dimension IO Remaining Term Distribution].[Distributions Desc].&amp;[118]" c="&gt; 3 Mths and &lt;= 6 Mths" cp="1">
          <x v="2"/>
        </s>
        <s v="[Dimension IO Remaining Term Distribution].[Distributions Desc].&amp;[119]" c="&gt; 6 Mths and &lt;= 12 Mths" cp="1">
          <x v="3"/>
        </s>
        <s v="[Dimension IO Remaining Term Distribution].[Distributions Desc].&amp;[120]" c="&gt; 12 Mths and &lt;= 18 Mths" cp="1">
          <x v="4"/>
        </s>
        <s v="[Dimension IO Remaining Term Distribution].[Distributions Desc].&amp;[121]" c="&gt; 18 Mths and &lt;= 24 Mths" cp="1">
          <x v="5"/>
        </s>
        <s v="[Dimension IO Remaining Term Distribution].[Distributions Desc].&amp;[122]" c="&gt; 2 and &lt;= 3 yrs" cp="1">
          <x v="6"/>
        </s>
        <s v="[Dimension IO Remaining Term Distribution].[Distributions Desc].&amp;[123]" c="&gt; 3 and &lt;= 4 yrs" cp="1">
          <x v="7"/>
        </s>
        <s v="[Dimension IO Remaining Term Distribution].[Distributions Desc].&amp;[124]" c="&gt; 4 and &lt;= 5 yrs" cp="1">
          <x v="8"/>
        </s>
        <s v="[Dimension IO Remaining Term Distribution].[Distributions Desc].&amp;[125]" c="&gt; 5 yrs" cp="1">
          <x v="9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IO Remaining Term Distribution].[Distributions Desc].[Distributions Desc].[Sort Key]" caption="Sort Key" propertyName="Sort Key" numFmtId="0" hierarchy="52" level="1" memberPropertyField="1">
      <sharedItems containsSemiMixedTypes="0" containsString="0" containsNumber="1" containsInteger="1" minValue="0" maxValue="9" count="10">
        <n v="0"/>
        <n v="1"/>
        <n v="2"/>
        <n v="3"/>
        <n v="4"/>
        <n v="5"/>
        <n v="6"/>
        <n v="7"/>
        <n v="8"/>
        <n v="9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2" unbalanced="0">
      <fieldsUsage count="2">
        <fieldUsage x="-1"/>
        <fieldUsage x="0"/>
      </fieldsUsage>
    </cacheHierarchy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965278" backgroundQuery="1" createdVersion="3" refreshedVersion="4" minRefreshableVersion="3" recordCount="0" supportSubquery="1" supportAdvancedDrill="1">
  <cacheSource type="external" connectionId="1"/>
  <cacheFields count="16">
    <cacheField name="[Dimension Current Rate Distribution].[Distributions Desc].[Distributions Desc]" caption="Distributions Desc" numFmtId="0" hierarchy="36" level="1" mappingCount="1">
      <sharedItems count="20">
        <s v="[Dimension Current Rate Distribution].[Distributions Desc].&amp;[3.751% - 4.000%]" c="3.751% - 4.000%" cp="1">
          <x/>
        </s>
        <s v="[Dimension Current Rate Distribution].[Distributions Desc].&amp;[4.751% - 5.000%]" c="4.751% - 5.000%" cp="1">
          <x v="1"/>
        </s>
        <s v="[Dimension Current Rate Distribution].[Distributions Desc].&amp;[5.001% - 5.250%]" c="5.001% - 5.250%" cp="1">
          <x v="2"/>
        </s>
        <s v="[Dimension Current Rate Distribution].[Distributions Desc].&amp;[5.251% - 5.500%]" c="5.251% - 5.500%" cp="1">
          <x v="3"/>
        </s>
        <s v="[Dimension Current Rate Distribution].[Distributions Desc].&amp;[5.501% - 5.750%]" c="5.501% - 5.750%" cp="1">
          <x v="4"/>
        </s>
        <s v="[Dimension Current Rate Distribution].[Distributions Desc].&amp;[5.751% - 6.000%]" c="5.751% - 6.000%" cp="1">
          <x v="5"/>
        </s>
        <s v="[Dimension Current Rate Distribution].[Distributions Desc].&amp;[6.001% - 6.250%]" c="6.001% - 6.250%" cp="1">
          <x v="6"/>
        </s>
        <s v="[Dimension Current Rate Distribution].[Distributions Desc].&amp;[6.251% - 6.500%]" c="6.251% - 6.500%" cp="1">
          <x v="7"/>
        </s>
        <s v="[Dimension Current Rate Distribution].[Distributions Desc].&amp;[6.501% - 6.750%]" c="6.501% - 6.750%" cp="1">
          <x v="8"/>
        </s>
        <s v="[Dimension Current Rate Distribution].[Distributions Desc].&amp;[6.751% - 7.000%]" c="6.751% - 7.000%" cp="1">
          <x v="9"/>
        </s>
        <s v="[Dimension Current Rate Distribution].[Distributions Desc].&amp;[7.001% - 7.250%]" c="7.001% - 7.250%" cp="1">
          <x v="10"/>
        </s>
        <s v="[Dimension Current Rate Distribution].[Distributions Desc].&amp;[7.251% - 7.500%]" c="7.251% - 7.500%" cp="1">
          <x v="11"/>
        </s>
        <s v="[Dimension Current Rate Distribution].[Distributions Desc].&amp;[7.501% - 7.750%]" c="7.501% - 7.750%" cp="1">
          <x v="12"/>
        </s>
        <s v="[Dimension Current Rate Distribution].[Distributions Desc].&amp;[7.751% - 8.000%]" c="7.751% - 8.000%" cp="1">
          <x v="13"/>
        </s>
        <s v="[Dimension Current Rate Distribution].[Distributions Desc].&amp;[8.001% - 8.250%]" c="8.001% - 8.250%" cp="1">
          <x v="14"/>
        </s>
        <s v="[Dimension Current Rate Distribution].[Distributions Desc].&amp;[8.251% - 8.500%]" c="8.251% - 8.500%" cp="1">
          <x v="15"/>
        </s>
        <s v="[Dimension Current Rate Distribution].[Distributions Desc].&amp;[8.501% - 8.750%]" c="8.501% - 8.750%" cp="1">
          <x v="16"/>
        </s>
        <s v="[Dimension Current Rate Distribution].[Distributions Desc].&amp;[8.751% - 9.000%]" c="8.751% - 9.000%" cp="1">
          <x v="17"/>
        </s>
        <s v="[Dimension Current Rate Distribution].[Distributions Desc].&amp;[9.001% - 9.250%]" c="9.001% - 9.250%" cp="1">
          <x v="18"/>
        </s>
        <s v="[Dimension Current Rate Distribution].[Distributions Desc].&amp;[9.251% - 9.500%]" c="9.251% - 9.500%" cp="1">
          <x v="19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Current Rate Distribution].[Distributions Desc].[Distributions Desc].[Sort Key]" caption="Sort Key" propertyName="Sort Key" numFmtId="0" hierarchy="36" level="1" memberPropertyField="1">
      <sharedItems containsSemiMixedTypes="0" containsString="0" containsNumber="1" containsInteger="1" minValue="50" maxValue="270" count="20">
        <n v="5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  <n v="240"/>
        <n v="250"/>
        <n v="260"/>
        <n v="27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2" unbalanced="0">
      <fieldsUsage count="2">
        <fieldUsage x="-1"/>
        <fieldUsage x="0"/>
      </fieldsUsage>
    </cacheHierarchy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3356483" backgroundQuery="1" createdVersion="3" refreshedVersion="4" minRefreshableVersion="3" recordCount="0" supportSubquery="1" supportAdvancedDrill="1">
  <cacheSource type="external" connectionId="1"/>
  <cacheFields count="16">
    <cacheField name="[Dimension Curent Balance Distribution].[Distributions Desc].[Distributions Desc]" caption="Distributions Desc" numFmtId="0" hierarchy="32" level="1" mappingCount="1">
      <sharedItems count="38">
        <s v="[Dimension Curent Balance Distribution].[Distributions Desc].&amp;[3021]" c="less than  $10,000" cp="1">
          <x/>
        </s>
        <s v="[Dimension Curent Balance Distribution].[Distributions Desc].&amp;[3022]" c="$10,000.01 - $20,000" cp="1">
          <x v="1"/>
        </s>
        <s v="[Dimension Curent Balance Distribution].[Distributions Desc].&amp;[3023]" c="$20,000.01 - $30,000" cp="1">
          <x v="2"/>
        </s>
        <s v="[Dimension Curent Balance Distribution].[Distributions Desc].&amp;[3024]" c="$30,000.01 - $40,000" cp="1">
          <x v="3"/>
        </s>
        <s v="[Dimension Curent Balance Distribution].[Distributions Desc].&amp;[3025]" c="$40,000.01 - $50,000" cp="1">
          <x v="4"/>
        </s>
        <s v="[Dimension Curent Balance Distribution].[Distributions Desc].&amp;[3026]" c="$50,000.01 - $60,000" cp="1">
          <x v="5"/>
        </s>
        <s v="[Dimension Curent Balance Distribution].[Distributions Desc].&amp;[3027]" c="$60,000.01 - $70,000" cp="1">
          <x v="6"/>
        </s>
        <s v="[Dimension Curent Balance Distribution].[Distributions Desc].&amp;[3028]" c="$70,000.01 - $80,000" cp="1">
          <x v="7"/>
        </s>
        <s v="[Dimension Curent Balance Distribution].[Distributions Desc].&amp;[3029]" c="$80,000.01 - $90,000" cp="1">
          <x v="8"/>
        </s>
        <s v="[Dimension Curent Balance Distribution].[Distributions Desc].&amp;[3030]" c="$90,000.01 - $100,000" cp="1">
          <x v="9"/>
        </s>
        <s v="[Dimension Curent Balance Distribution].[Distributions Desc].&amp;[3031]" c="$100,000.01 - $150,000" cp="1">
          <x v="10"/>
        </s>
        <s v="[Dimension Curent Balance Distribution].[Distributions Desc].&amp;[3032]" c="$150,000.01 - $200,000" cp="1">
          <x v="11"/>
        </s>
        <s v="[Dimension Curent Balance Distribution].[Distributions Desc].&amp;[3033]" c="$200,000.01 - $250,000" cp="1">
          <x v="12"/>
        </s>
        <s v="[Dimension Curent Balance Distribution].[Distributions Desc].&amp;[3034]" c="$250,000.01 - $300,000" cp="1">
          <x v="13"/>
        </s>
        <s v="[Dimension Curent Balance Distribution].[Distributions Desc].&amp;[3035]" c="$300,000.01 - $350,000" cp="1">
          <x v="14"/>
        </s>
        <s v="[Dimension Curent Balance Distribution].[Distributions Desc].&amp;[3036]" c="$350,000.01 - $400,000" cp="1">
          <x v="15"/>
        </s>
        <s v="[Dimension Curent Balance Distribution].[Distributions Desc].&amp;[3037]" c="$400,000.01 - $450,000" cp="1">
          <x v="16"/>
        </s>
        <s v="[Dimension Curent Balance Distribution].[Distributions Desc].&amp;[3038]" c="$450,000.01 - $500,000" cp="1">
          <x v="17"/>
        </s>
        <s v="[Dimension Curent Balance Distribution].[Distributions Desc].&amp;[3039]" c="$500,000.01 - $550,000" cp="1">
          <x v="18"/>
        </s>
        <s v="[Dimension Curent Balance Distribution].[Distributions Desc].&amp;[3040]" c="$550,000.01 - $600,000" cp="1">
          <x v="19"/>
        </s>
        <s v="[Dimension Curent Balance Distribution].[Distributions Desc].&amp;[3041]" c="$600,000.01 - $650,000" cp="1">
          <x v="20"/>
        </s>
        <s v="[Dimension Curent Balance Distribution].[Distributions Desc].&amp;[3042]" c="$650,000.01 - $700,000" cp="1">
          <x v="21"/>
        </s>
        <s v="[Dimension Curent Balance Distribution].[Distributions Desc].&amp;[3043]" c="$700,000.01 - $750,000" cp="1">
          <x v="22"/>
        </s>
        <s v="[Dimension Curent Balance Distribution].[Distributions Desc].&amp;[3044]" c="$750,000.01 - $800,000" cp="1">
          <x v="23"/>
        </s>
        <s v="[Dimension Curent Balance Distribution].[Distributions Desc].&amp;[3045]" c="$800,000.01 - $850,000" cp="1">
          <x v="24"/>
        </s>
        <s v="[Dimension Curent Balance Distribution].[Distributions Desc].&amp;[3046]" c="$850,000.01 - $900,000" cp="1">
          <x v="25"/>
        </s>
        <s v="[Dimension Curent Balance Distribution].[Distributions Desc].&amp;[3047]" c="$900,000.01 - $950,000" cp="1">
          <x v="26"/>
        </s>
        <s v="[Dimension Curent Balance Distribution].[Distributions Desc].&amp;[3048]" c="$950,000.01 - $1,000,000" cp="1">
          <x v="27"/>
        </s>
        <s v="[Dimension Curent Balance Distribution].[Distributions Desc].&amp;[3049]" c="$1,000,000.01 - $1,050,000" cp="1">
          <x v="28"/>
        </s>
        <s v="[Dimension Curent Balance Distribution].[Distributions Desc].&amp;[3050]" c="$1,050,000.01 - $1,100,000" cp="1">
          <x v="29"/>
        </s>
        <s v="[Dimension Curent Balance Distribution].[Distributions Desc].&amp;[3051]" c="$1,100,000.01 - $1,150,000" cp="1">
          <x v="30"/>
        </s>
        <s v="[Dimension Curent Balance Distribution].[Distributions Desc].&amp;[3052]" c="$1,150,000.01 - $1,200,000" cp="1">
          <x v="31"/>
        </s>
        <s v="[Dimension Curent Balance Distribution].[Distributions Desc].&amp;[3053]" c="$1,200,000.01 - $1,250,000" cp="1">
          <x v="32"/>
        </s>
        <s v="[Dimension Curent Balance Distribution].[Distributions Desc].&amp;[3054]" c="$1,250,000.01 - $1,300,000" cp="1">
          <x v="33"/>
        </s>
        <s v="[Dimension Curent Balance Distribution].[Distributions Desc].&amp;[3055]" c="$1,300,000.01 - $1,350,000" cp="1">
          <x v="34"/>
        </s>
        <s v="[Dimension Curent Balance Distribution].[Distributions Desc].&amp;[3056]" c="$1,350,000.01 - $1,400,000" cp="1">
          <x v="35"/>
        </s>
        <s v="[Dimension Curent Balance Distribution].[Distributions Desc].&amp;[3057]" c="$1,400,000.01 - $1,450,000" cp="1">
          <x v="36"/>
        </s>
        <s v="[Dimension Curent Balance Distribution].[Distributions Desc].&amp;[3058]" c="$1,450,000.01 - $1,500,000" cp="1">
          <x v="37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urent Balance Distribution].[Distributions Desc].[Distributions Desc].[Sort Key]" caption="Sort Key" propertyName="Sort Key" numFmtId="0" hierarchy="32" level="1" memberPropertyField="1">
      <sharedItems containsSemiMixedTypes="0" containsString="0" containsNumber="1" containsInteger="1" minValue="10" maxValue="380" count="38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  <n v="240"/>
        <n v="250"/>
        <n v="260"/>
        <n v="270"/>
        <n v="280"/>
        <n v="290"/>
        <n v="300"/>
        <n v="310"/>
        <n v="320"/>
        <n v="330"/>
        <n v="340"/>
        <n v="350"/>
        <n v="360"/>
        <n v="370"/>
        <n v="38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2" unbalanced="0">
      <fieldsUsage count="2">
        <fieldUsage x="-1"/>
        <fieldUsage x="0"/>
      </fieldsUsage>
    </cacheHierarchy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9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6134262" backgroundQuery="1" createdVersion="3" refreshedVersion="4" minRefreshableVersion="3" recordCount="0" supportSubquery="1" supportAdvancedDrill="1">
  <cacheSource type="external" connectionId="1"/>
  <cacheFields count="22">
    <cacheField name="[Dimension Pool].[DimPoolID].[DimPoolID]" caption="DimPoolID" numFmtId="0" hierarchy="99" level="1" mappingCount="3">
      <sharedItems count="1">
        <s v="[Dimension Pool].[DimPoolID].&amp;[1970]" c="1970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970;Integrated Security=SSPI;"/>
      </sharedItems>
    </cacheField>
    <cacheField name="[Dimension Criteria].[Criteria ID].[Criteria ID]" caption="Criteria ID" numFmtId="0" hierarchy="24" level="1" mappingCount="6">
      <sharedItems count="8">
        <s v="[Dimension Criteria].[Criteria ID].&amp;[1970]&amp;[21]" c="AUS_EC19_SecurityPropertyNatureCode" cp="6">
          <x/>
          <x/>
          <x/>
          <x/>
          <x/>
          <x/>
        </s>
        <s v="[Dimension Criteria].[Criteria ID].&amp;[1970]&amp;[22]" c="AUS_EC20_SecurityPropertyType" cp="6">
          <x v="1"/>
          <x/>
          <x/>
          <x/>
          <x/>
          <x v="1"/>
        </s>
        <s v="[Dimension Criteria].[Criteria ID].&amp;[1970]&amp;[26]" c="AUS_EC26_ApprovalValuation" cp="6">
          <x v="2"/>
          <x/>
          <x/>
          <x/>
          <x v="1"/>
          <x v="2"/>
        </s>
        <s v="[Dimension Criteria].[Criteria ID].&amp;[1970]&amp;[29]" c="AUS_EC30_ValidSecurityType" cp="6">
          <x v="3"/>
          <x/>
          <x/>
          <x/>
          <x v="1"/>
          <x v="3"/>
        </s>
        <s v="[Dimension Criteria].[Criteria ID].&amp;[1970]&amp;[32]" c="AUS_EC33_SecurityStreetName" cp="6">
          <x v="4"/>
          <x/>
          <x/>
          <x/>
          <x v="1"/>
          <x v="4"/>
        </s>
        <s v="[Dimension Criteria].[Criteria ID].&amp;[1970]&amp;[36]" c="AUS_EC39_SameSecurityAddrMultiSecurityNums" cp="6">
          <x v="5"/>
          <x/>
          <x/>
          <x/>
          <x v="1"/>
          <x v="5"/>
        </s>
        <s v="[Dimension Criteria].[Criteria ID].&amp;[1970]&amp;[38]" c="AUS_EC42_ConsolidationLTVCriteriaSecurity" cp="6">
          <x v="6"/>
          <x v="1"/>
          <x/>
          <x/>
          <x v="1"/>
          <x v="6"/>
        </s>
        <s v="[Dimension Criteria].[Criteria ID].&amp;[1970]&amp;[41]" c="AUS_EC43_SecuritiesWithoutPassedLoans" cp="6">
          <x v="7"/>
          <x v="1"/>
          <x/>
          <x/>
          <x v="1"/>
          <x v="7"/>
        </s>
      </sharedItems>
      <mpMap v="5"/>
      <mpMap v="6"/>
      <mpMap v="7"/>
      <mpMap v="8"/>
      <mpMap v="9"/>
      <mpMap v="10"/>
    </cacheField>
    <cacheField name="[Dimension Criteria].[Criteria ID].[Criteria ID].[Criteria Description]" caption="Criteria Description" propertyName="Criteria Description" numFmtId="0" hierarchy="24" level="1" memberPropertyField="1">
      <sharedItems count="8">
        <s v="Exclude Security with certain Security Property Nature Code"/>
        <s v="Exclude certain security property types"/>
        <s v="Exclude loans with invalid security valuation"/>
        <s v="Exclude certain invalid security types"/>
        <s v="Exclude securities with incomplete address details"/>
        <s v="Exclude Securities with same Security Address but different Security Number"/>
        <s v="Exclude Securities which are belong to failed consolidation groups"/>
        <s v="Exclude securities without any passed loans"/>
      </sharedItems>
    </cacheField>
    <cacheField name="[Dimension Criteria].[Criteria ID].[Criteria ID].[Criteria Pass]" caption="Criteria Pass" propertyName="Criteria Pass" numFmtId="0" hierarchy="24" level="1" memberPropertyField="1">
      <sharedItems count="2">
        <s v="ECPass1"/>
        <s v="SecurityFinalization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Security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2">
        <s v="Property"/>
        <s v="Security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19" maxValue="43" count="8">
        <n v="19"/>
        <n v="20"/>
        <n v="26"/>
        <n v="30"/>
        <n v="33"/>
        <n v="39"/>
        <n v="42"/>
        <n v="43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Security EC Report]" c="Security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Security Count]" caption="Failed Security Count" numFmtId="0" hierarchy="208" level="32767"/>
    <cacheField name="[Measures].[Failed Security Valuation Amount]" caption="Failed Security Valuation Amount" numFmtId="0" hierarchy="205" level="32767"/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1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 oneField="1">
      <fieldsUsage count="1">
        <fieldUsage x="20"/>
      </fieldsUsage>
    </cacheHierarchy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 oneField="1">
      <fieldsUsage count="1">
        <fieldUsage x="19"/>
      </fieldsUsage>
    </cacheHierarchy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8564817" backgroundQuery="1" createdVersion="3" refreshedVersion="4" minRefreshableVersion="3" recordCount="0" supportSubquery="1" supportAdvancedDrill="1">
  <cacheSource type="external" connectionId="1"/>
  <cacheFields count="20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Consolidation EC Report]" c="Consolidatio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Consolidation Count]" caption="Failed Consolidation Count" numFmtId="0" hierarchy="211" level="32767"/>
    <cacheField name="[Measures].[Passed Consolidation Count]" caption="Passed Consolidation Count" numFmtId="0" hierarchy="212" level="32767"/>
    <cacheField name="[Measures].[Total Consolidation Count]" caption="Total Consolidation Count" numFmtId="0" hierarchy="210" level="32767"/>
    <cacheField name="[Measures].[Failed Consolidation Balance]" caption="Failed Consolidation Balance" numFmtId="0" hierarchy="217" level="32767"/>
    <cacheField name="[Measures].[Passed Consolidation Balance]" caption="Passed Consolidation Balance" numFmtId="0" hierarchy="218" level="32767"/>
    <cacheField name="[Measures].[Total Consolidation Balance]" caption="Total Consolidation Balance" numFmtId="0" hierarchy="216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9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4"/>
        <fieldUsage x="5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 oneField="1">
      <fieldsUsage count="1">
        <fieldUsage x="14"/>
      </fieldsUsage>
    </cacheHierarchy>
    <cacheHierarchy uniqueName="[Measures].[Failed Consolidation Count]" caption="Failed Consolidation Count" measure="1" displayFolder="" measureGroup="ConsolidationECResult" count="0" oneField="1">
      <fieldsUsage count="1">
        <fieldUsage x="12"/>
      </fieldsUsage>
    </cacheHierarchy>
    <cacheHierarchy uniqueName="[Measures].[Passed Consolidation Count]" caption="Passed Consolidation Count" measure="1" displayFolder="" measureGroup="ConsolidationECResult" count="0" oneField="1">
      <fieldsUsage count="1">
        <fieldUsage x="13"/>
      </fieldsUsage>
    </cacheHierarchy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 oneField="1">
      <fieldsUsage count="1">
        <fieldUsage x="17"/>
      </fieldsUsage>
    </cacheHierarchy>
    <cacheHierarchy uniqueName="[Measures].[Failed Consolidation Balance]" caption="Failed Consolidation Balance" measure="1" displayFolder="" measureGroup="ConsolidationECResult" count="0" oneField="1">
      <fieldsUsage count="1">
        <fieldUsage x="15"/>
      </fieldsUsage>
    </cacheHierarchy>
    <cacheHierarchy uniqueName="[Measures].[Passed Consolidation Balance]" caption="Passed Consolidation Balance" measure="1" displayFolder="" measureGroup="ConsolidationECResult" count="0" oneField="1">
      <fieldsUsage count="1">
        <fieldUsage x="16"/>
      </fieldsUsage>
    </cacheHierarchy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10995373" backgroundQuery="1" createdVersion="3" refreshedVersion="4" minRefreshableVersion="3" recordCount="0" supportSubquery="1" supportAdvancedDrill="1">
  <cacheSource type="external" connectionId="1"/>
  <cacheFields count="21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Measures].[Failed Loan Count]" caption="Failed Loan Count" numFmtId="0" hierarchy="199" level="32767"/>
    <cacheField name="[Measures].[Passed Loan Count]" caption="Passed Loan Count" numFmtId="0" hierarchy="200" level="32767"/>
    <cacheField name="[Measures].[Total Loan Count]" caption="Total Loan Count" numFmtId="0" hierarchy="198" level="32767"/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Loan EC Report]" c="Loa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Loan Balance]" caption="Failed Loan Balance" numFmtId="0" hierarchy="202" level="32767"/>
    <cacheField name="[Measures].[Passed Loan Balance]" caption="Passed Loan Balance" numFmtId="0" hierarchy="203" level="32767"/>
    <cacheField name="[Measures].[Total Loan Balance]" caption="Total Loan Balance" numFmtId="0" hierarchy="201" level="32767"/>
    <cacheField name="[Dimension Trust].[Dim Trust ID].[Dim Trust ID]" caption="Dim Trust ID" numFmtId="0" hierarchy="123" level="1">
      <sharedItems count="2">
        <s v="[Dimension Trust].[Dim Trust ID].&amp;[50]" c="0035"/>
        <s v="[Dimension Trust].[Dim Trust ID].&amp;[0]" c="UNK"/>
      </sharedItems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7"/>
        <fieldUsage x="8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8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 oneField="1">
      <fieldsUsage count="1">
        <fieldUsage x="6"/>
      </fieldsUsage>
    </cacheHierarchy>
    <cacheHierarchy uniqueName="[Measures].[Failed Loan Count]" caption="Failed Loan Count" measure="1" displayFolder="" measureGroup="LoanECResult" count="0" oneField="1">
      <fieldsUsage count="1">
        <fieldUsage x="4"/>
      </fieldsUsage>
    </cacheHierarchy>
    <cacheHierarchy uniqueName="[Measures].[Passed Loan Count]" caption="Passed Loan Count" measure="1" displayFolder="" measureGroup="LoanECResult" count="0" oneField="1">
      <fieldsUsage count="1">
        <fieldUsage x="5"/>
      </fieldsUsage>
    </cacheHierarchy>
    <cacheHierarchy uniqueName="[Measures].[Total Loan Balance]" caption="Total Loan Balance" measure="1" displayFolder="" measureGroup="LoanECResult" count="0" oneField="1">
      <fieldsUsage count="1">
        <fieldUsage x="17"/>
      </fieldsUsage>
    </cacheHierarchy>
    <cacheHierarchy uniqueName="[Measures].[Failed Loan Balance]" caption="Failed Loan Balance" measure="1" displayFolder="" measureGroup="LoanECResult" count="0" oneField="1">
      <fieldsUsage count="1">
        <fieldUsage x="15"/>
      </fieldsUsage>
    </cacheHierarchy>
    <cacheHierarchy uniqueName="[Measures].[Passed Loan Balance]" caption="Passed Loan Balance" measure="1" displayFolder="" measureGroup="LoanECResult" count="0" oneField="1">
      <fieldsUsage count="1">
        <fieldUsage x="16"/>
      </fieldsUsage>
    </cacheHierarchy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18287039" backgroundQuery="1" createdVersion="4" refreshedVersion="4" minRefreshableVersion="3" recordCount="0" supportSubquery="1" supportAdvancedDrill="1">
  <cacheSource type="external" connectionId="1"/>
  <cacheFields count="14">
    <cacheField name="[Dimension Pool].[Dim Reporting Date ID].[Dim Reporting Date ID]" caption="Dim Reporting Date ID" numFmtId="0" hierarchy="98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Measures].[Fact Loan Count]" caption="Fact Loan Count" numFmtId="0" hierarchy="134" level="32767"/>
    <cacheField name="[Dimension Consolidation Trust].[Dim Trust ID].[Dim Trust ID]" caption="Dim Trust ID" numFmtId="0" hierarchy="21" level="1" mappingCount="1">
      <sharedItems count="1">
        <s v="[Dimension Consolidation Trust].[Dim Trust ID].&amp;[0]" c="UNK" cp="1">
          <x/>
        </s>
      </sharedItems>
      <mpMap v="7"/>
    </cacheField>
    <cacheField name="[Dimension Consolidation Trust].[Dim Trust ID].[Dim Trust ID].[Trust Name]" caption="Trust Name" propertyName="Trust Name" numFmtId="0" hierarchy="21" level="1" memberPropertyField="1">
      <sharedItems count="1">
        <s v="Unknown"/>
      </sharedItems>
    </cacheField>
    <cacheField name="[Dimension Trust].[Dim Trust ID].[Dim Trust ID]" caption="Dim Trust ID" numFmtId="0" hierarchy="123" level="1" mappingCount="1">
      <sharedItems count="1">
        <s v="[Dimension Trust].[Dim Trust ID].&amp;[0]" c="UNK" cp="1">
          <x/>
        </s>
      </sharedItems>
      <mpMap v="9"/>
    </cacheField>
    <cacheField name="[Dimension Trust].[Dim Trust ID].[Dim Trust ID].[Trust Name]" caption="Trust Name" propertyName="Trust Name" numFmtId="0" hierarchy="123" level="1" memberPropertyField="1">
      <sharedItems count="1">
        <s v="Unknown"/>
      </sharedItems>
    </cacheField>
    <cacheField name="[Measures].[Loan Count]" caption="Loan Count" numFmtId="0" hierarchy="154" level="32767"/>
    <cacheField name="[Measures].[Current Principal Balance]" caption="Current Principal Balance" numFmtId="0" hierarchy="135" level="32767"/>
    <cacheField name="[Consolidation LTV Pass].[LTV Pass No].[LTV Pass No]" caption="LTV Pass No" numFmtId="0" level="1">
      <sharedItems containsSemiMixedTypes="0" containsString="0"/>
    </cacheField>
    <cacheField name="[Measures].[Consolidation Valuation]" caption="Consolidation Valuation" numFmtId="0" hierarchy="147" level="32767"/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2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2" unbalanced="0">
      <fieldsUsage count="2">
        <fieldUsage x="-1"/>
        <fieldUsage x="6"/>
      </fieldsUsage>
    </cacheHierarchy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8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5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 oneField="1">
      <fieldsUsage count="1">
        <fieldUsage x="13"/>
      </fieldsUsage>
    </cacheHierarchy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 oneField="1">
      <fieldsUsage count="1">
        <fieldUsage x="10"/>
      </fieldsUsage>
    </cacheHierarchy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048611" backgroundQuery="1" createdVersion="3" refreshedVersion="4" minRefreshableVersion="3" recordCount="0" supportSubquery="1" supportAdvancedDrill="1">
  <cacheSource type="external" connectionId="1"/>
  <cacheFields count="19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Security EC Report]" c="Security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Security Count]" caption="Failed Security Count" numFmtId="0" hierarchy="208" level="32767"/>
    <cacheField name="[Measures].[Passed Security Count]" caption="Passed Security Count" numFmtId="0" hierarchy="209" level="32767"/>
    <cacheField name="[Measures].[Total Security Count]" caption="Total Security Count" numFmtId="0" hierarchy="207" level="32767"/>
    <cacheField name="[Measures].[Failed Security Valuation Amount]" caption="Failed Security Valuation Amount" numFmtId="0" hierarchy="205" level="32767"/>
    <cacheField name="[Measures].[Passed Security Valuation Amount]" caption="Passed Security Valuation Amount" numFmtId="0" hierarchy="206" level="32767"/>
    <cacheField name="[Measures].[Total Security Valuation Amount]" caption="Total Security Valuation Amount" numFmtId="0" hierarchy="204" level="32767"/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4"/>
        <fieldUsage x="5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 oneField="1">
      <fieldsUsage count="1">
        <fieldUsage x="17"/>
      </fieldsUsage>
    </cacheHierarchy>
    <cacheHierarchy uniqueName="[Measures].[Failed Security Valuation Amount]" caption="Failed Security Valuation Amount" measure="1" displayFolder="" measureGroup="SecurityECResult" count="0" oneField="1">
      <fieldsUsage count="1">
        <fieldUsage x="15"/>
      </fieldsUsage>
    </cacheHierarchy>
    <cacheHierarchy uniqueName="[Measures].[Passed Security Valuation Amount]" caption="Passed Security Valuation Amount" measure="1" displayFolder="" measureGroup="SecurityECResult" count="0" oneField="1">
      <fieldsUsage count="1">
        <fieldUsage x="16"/>
      </fieldsUsage>
    </cacheHierarchy>
    <cacheHierarchy uniqueName="[Measures].[Total Security Count]" caption="Total Security Count" measure="1" displayFolder="" measureGroup="SecurityECResult" count="0" oneField="1">
      <fieldsUsage count="1">
        <fieldUsage x="14"/>
      </fieldsUsage>
    </cacheHierarchy>
    <cacheHierarchy uniqueName="[Measures].[Failed Security Count]" caption="Failed Security Count" measure="1" displayFolder="" measureGroup="SecurityECResult" count="0" oneField="1">
      <fieldsUsage count="1">
        <fieldUsage x="12"/>
      </fieldsUsage>
    </cacheHierarchy>
    <cacheHierarchy uniqueName="[Measures].[Passed Security Count]" caption="Passed Security Count" measure="1" displayFolder="" measureGroup="SecurityECResult" count="0" oneField="1">
      <fieldsUsage count="1">
        <fieldUsage x="13"/>
      </fieldsUsage>
    </cacheHierarchy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3958335" backgroundQuery="1" createdVersion="3" refreshedVersion="4" minRefreshableVersion="3" recordCount="0" supportSubquery="1" supportAdvancedDrill="1">
  <cacheSource type="external" connectionId="1"/>
  <cacheFields count="24">
    <cacheField name="[Dimension Pool].[DimPoolID].[DimPoolID]" caption="DimPoolID" numFmtId="0" hierarchy="99" level="1" mappingCount="3">
      <sharedItems count="1">
        <s v="[Dimension Pool].[DimPoolID].&amp;[1970]" c="1970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970;Integrated Security=SSPI;"/>
      </sharedItems>
    </cacheField>
    <cacheField name="[Dimension Criteria].[Criteria ID].[Criteria ID]" caption="Criteria ID" numFmtId="0" hierarchy="24" level="1" mappingCount="6">
      <sharedItems count="25">
        <s v="[Dimension Criteria].[Criteria ID].&amp;[1970]&amp;[1]" c="AUS_EC_ClosedLoan" cp="6">
          <x/>
          <x/>
          <x/>
          <x/>
          <x/>
          <x/>
        </s>
        <s v="[Dimension Criteria].[Criteria ID].&amp;[1970]&amp;[2]" c="AUS_EC01_ResidentType" cp="6">
          <x v="1"/>
          <x/>
          <x/>
          <x/>
          <x v="1"/>
          <x v="1"/>
        </s>
        <s v="[Dimension Criteria].[Criteria ID].&amp;[1970]&amp;[3]" c="AUS_EC02_EnforcementFlag" cp="6">
          <x v="2"/>
          <x/>
          <x/>
          <x/>
          <x v="1"/>
          <x v="2"/>
        </s>
        <s v="[Dimension Criteria].[Criteria ID].&amp;[1970]&amp;[4]" c="AUS_EC03_LitigationFlag" cp="6">
          <x v="3"/>
          <x/>
          <x/>
          <x/>
          <x v="1"/>
          <x v="3"/>
        </s>
        <s v="[Dimension Criteria].[Criteria ID].&amp;[1970]&amp;[5]" c="AUS_EC04_ProductCode" cp="6">
          <x v="4"/>
          <x/>
          <x/>
          <x/>
          <x/>
          <x v="4"/>
        </s>
        <s v="[Dimension Criteria].[Criteria ID].&amp;[1970]&amp;[6]" c="AUS_EC05_OriginalBrand" cp="6">
          <x v="5"/>
          <x/>
          <x/>
          <x/>
          <x/>
          <x v="5"/>
        </s>
        <s v="[Dimension Criteria].[Criteria ID].&amp;[1970]&amp;[7]" c="AUS_EC06_01_PaymentTypeDefault" cp="6">
          <x v="6"/>
          <x/>
          <x/>
          <x/>
          <x/>
          <x v="6"/>
        </s>
        <s v="[Dimension Criteria].[Criteria ID].&amp;[1970]&amp;[8]" c="AUS_EC06_03_PaymentType_InterestOnly_IPANXCalculation" cp="6">
          <x v="7"/>
          <x/>
          <x/>
          <x/>
          <x/>
          <x v="6"/>
        </s>
        <s v="[Dimension Criteria].[Criteria ID].&amp;[1970]&amp;[10]" c="AUS_EC08_MaturityDate" cp="6">
          <x v="8"/>
          <x/>
          <x/>
          <x/>
          <x/>
          <x v="7"/>
        </s>
        <s v="[Dimension Criteria].[Criteria ID].&amp;[1970]&amp;[11]" c="AUS_EC09_LoanStartDate" cp="6">
          <x v="9"/>
          <x/>
          <x/>
          <x/>
          <x/>
          <x v="8"/>
        </s>
        <s v="[Dimension Criteria].[Criteria ID].&amp;[1970]&amp;[12]" c="AUS_EC10_ProgressiveDrawdownFlag" cp="6">
          <x v="10"/>
          <x/>
          <x/>
          <x/>
          <x/>
          <x v="9"/>
        </s>
        <s v="[Dimension Criteria].[Criteria ID].&amp;[1970]&amp;[13]" c="AUS_EC11_DaysInArrears" cp="6">
          <x v="11"/>
          <x/>
          <x/>
          <x/>
          <x/>
          <x v="10"/>
        </s>
        <s v="[Dimension Criteria].[Criteria ID].&amp;[1970]&amp;[14]" c="AUS_EC12_MinimumLoanSize" cp="6">
          <x v="12"/>
          <x/>
          <x/>
          <x/>
          <x/>
          <x v="11"/>
        </s>
        <s v="[Dimension Criteria].[Criteria ID].&amp;[1970]&amp;[15]" c="AUS_EC12_MaximumLoanSize" cp="6">
          <x v="13"/>
          <x/>
          <x/>
          <x/>
          <x/>
          <x v="11"/>
        </s>
        <s v="[Dimension Criteria].[Criteria ID].&amp;[1970]&amp;[16]" c="AUS_EC13_MortgageInsurerCode" cp="6">
          <x v="14"/>
          <x/>
          <x/>
          <x/>
          <x/>
          <x v="12"/>
        </s>
        <s v="[Dimension Criteria].[Criteria ID].&amp;[1970]&amp;[17]" c="AUS_EC14_LoanPurposeCode" cp="6">
          <x v="15"/>
          <x/>
          <x/>
          <x/>
          <x/>
          <x v="13"/>
        </s>
        <s v="[Dimension Criteria].[Criteria ID].&amp;[1970]&amp;[18]" c="AUS_EC15_FixedRateExpiryDate" cp="6">
          <x v="16"/>
          <x/>
          <x/>
          <x/>
          <x/>
          <x v="14"/>
        </s>
        <s v="[Dimension Criteria].[Criteria ID].&amp;[1970]&amp;[23]" c="AUS_EC21_AuditCode" cp="6">
          <x v="17"/>
          <x/>
          <x/>
          <x/>
          <x v="2"/>
          <x v="15"/>
        </s>
        <s v="[Dimension Criteria].[Criteria ID].&amp;[1970]&amp;[24]" c="AUS_EC22_MaximumNoOfSecurities" cp="6">
          <x v="18"/>
          <x/>
          <x/>
          <x/>
          <x v="3"/>
          <x v="16"/>
        </s>
        <s v="[Dimension Criteria].[Criteria ID].&amp;[1970]&amp;[28]" c="AUS_EC29_InterestRate" cp="6">
          <x v="19"/>
          <x/>
          <x/>
          <x/>
          <x/>
          <x v="17"/>
        </s>
        <s v="[Dimension Criteria].[Criteria ID].&amp;[1970]&amp;[30]" c="AUS_EC31_LoanStartDatePeriod" cp="6">
          <x v="20"/>
          <x/>
          <x/>
          <x/>
          <x/>
          <x v="18"/>
        </s>
        <s v="[Dimension Criteria].[Criteria ID].&amp;[1970]&amp;[31]" c="AUS_EC32_GLClass" cp="6">
          <x v="21"/>
          <x/>
          <x/>
          <x/>
          <x/>
          <x v="19"/>
        </s>
        <s v="[Dimension Criteria].[Criteria ID].&amp;[1970]&amp;[33]" c="AUS_EC35_LoanAccountNumber" cp="6">
          <x v="22"/>
          <x/>
          <x/>
          <x/>
          <x/>
          <x v="20"/>
        </s>
        <s v="[Dimension Criteria].[Criteria ID].&amp;[1970]&amp;[34]" c="AUS_EC36_HardshipFlag" cp="6">
          <x v="23"/>
          <x/>
          <x/>
          <x/>
          <x v="1"/>
          <x v="21"/>
        </s>
        <s v="[Dimension Criteria].[Criteria ID].&amp;[1970]&amp;[37]" c="AUS_EC41_ConsolidationLTVCriteriaLoan" cp="6">
          <x v="24"/>
          <x v="1"/>
          <x/>
          <x/>
          <x/>
          <x v="22"/>
        </s>
      </sharedItems>
      <mpMap v="5"/>
      <mpMap v="6"/>
      <mpMap v="7"/>
      <mpMap v="8"/>
      <mpMap v="9"/>
      <mpMap v="10"/>
    </cacheField>
    <cacheField name="[Dimension Criteria].[Criteria ID].[Criteria ID].[Criteria Description]" caption="Criteria Description" propertyName="Criteria Description" numFmtId="0" hierarchy="24" level="1" memberPropertyField="1">
      <sharedItems count="25">
        <s v="Exclude unsold loans with status CLOSE"/>
        <s v="Exclude loans with invalid Resident Code"/>
        <s v="Exclude loans with invalid Enforcement Flag"/>
        <s v="_x000d__x000a_Exclude loans with invalid Litigation Flag"/>
        <s v="Exclude loan with invalid Product Code"/>
        <s v="Exclude loan with invalid Original Brand"/>
        <s v="Exclude loans with invalid Payment Type"/>
        <s v="Exclude IO loans for specified conditions based on IPANX loan maturity date"/>
        <s v="Exclude loans with invalid Maturity Date"/>
        <s v="Exclude loans with invalid Start Date"/>
        <s v="Exclude loan with Progressive Drawdown Flag"/>
        <s v="Exclude loans with excessive days in arrears"/>
        <s v="Set Minimum Loan Size"/>
        <s v="Set Maximum Loan Size"/>
        <s v="Exclude loans with certain Mortgage Insurer Code and Indicator"/>
        <s v="Exclude Loans with invalid Loan Purpose Code"/>
        <s v="Exclude maximum remaining fixed rate term"/>
        <s v="Exclude Loans with an invalid audit code"/>
        <s v="exclude loan where maximum no of securities is greater than a specified value"/>
        <s v="Exclude loans where interest rate criteria is not met"/>
        <s v="Define Loan Start Period"/>
        <s v="Exclude loan with certain GL Class"/>
        <s v="Exclude certain Account numbers"/>
        <s v="Exclude loan with invalid Hardship Flag"/>
        <s v="Exclude loans which are belong to failed consolidation groups"/>
      </sharedItems>
    </cacheField>
    <cacheField name="[Dimension Criteria].[Criteria ID].[Criteria ID].[Criteria Pass]" caption="Criteria Pass" propertyName="Criteria Pass" numFmtId="0" hierarchy="24" level="1" memberPropertyField="1">
      <sharedItems count="2">
        <s v="ECPass1"/>
        <s v="LoanFinalization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Loan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4">
        <s v="Product"/>
        <s v="Customer"/>
        <s v="Audit"/>
        <s v="Security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0" maxValue="41" count="23">
        <n v="0"/>
        <n v="1"/>
        <n v="2"/>
        <n v="3"/>
        <n v="4"/>
        <n v="5"/>
        <n v="6"/>
        <n v="8"/>
        <n v="9"/>
        <n v="10"/>
        <n v="11"/>
        <n v="12"/>
        <n v="13"/>
        <n v="14"/>
        <n v="15"/>
        <n v="21"/>
        <n v="22"/>
        <n v="29"/>
        <n v="31"/>
        <n v="32"/>
        <n v="35"/>
        <n v="36"/>
        <n v="41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Loan EC Report]" c="Loa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Loan Count]" caption="Failed Loan Count" numFmtId="0" hierarchy="199" level="32767"/>
    <cacheField name="[Measures].[Failed Loan Balance]" caption="Failed Loan Balance" numFmtId="0" hierarchy="202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1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 oneField="1">
      <fieldsUsage count="1">
        <fieldUsage x="19"/>
      </fieldsUsage>
    </cacheHierarchy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 oneField="1">
      <fieldsUsage count="1">
        <fieldUsage x="20"/>
      </fieldsUsage>
    </cacheHierarchy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6851853" backgroundQuery="1" createdVersion="3" refreshedVersion="4" minRefreshableVersion="3" recordCount="0" supportSubquery="1" supportAdvancedDrill="1">
  <cacheSource type="external" connectionId="1"/>
  <cacheFields count="23">
    <cacheField name="[Dimension Pool].[DimPoolID].[DimPoolID]" caption="DimPoolID" numFmtId="0" hierarchy="99" level="1">
      <sharedItems count="1">
        <s v="[Dimension Pool].[DimPoolID].&amp;[1050]" c="1050"/>
      </sharedItems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050;Integrated Security=SSPI;"/>
      </sharedItems>
    </cacheField>
    <cacheField name="[Dimension Criteria].[Criteria ID].[Criteria ID]" caption="Criteria ID" numFmtId="0" hierarchy="24" level="1">
      <sharedItems count="2">
        <s v="[Dimension Criteria].[Criteria ID].&amp;[1050]&amp;[18]" c="AUS_EC17_MaximumLTV"/>
        <s v="[Dimension Criteria].[Criteria ID].&amp;[1050]&amp;[19]" c="AUS_EC18_MinimumLTV"/>
      </sharedItems>
    </cacheField>
    <cacheField name="[Dimension Criteria].[Criteria ID].[Criteria ID].[Criteria Description]" caption="Criteria Description" propertyName="Criteria Description" numFmtId="0" hierarchy="24" level="1" memberPropertyField="1">
      <sharedItems count="1">
        <s v="Exclude loans which belong to any consolidation group which has the following specified LTV value"/>
      </sharedItems>
    </cacheField>
    <cacheField name="[Dimension Criteria].[Criteria ID].[Criteria ID].[Criteria Pass]" caption="Criteria Pass" propertyName="Criteria Pass" numFmtId="0" hierarchy="24" level="1" memberPropertyField="1">
      <sharedItems count="1">
        <s v="ECPass3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Consolidation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1">
        <s v="Product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17" maxValue="18" count="2">
        <n v="17"/>
        <n v="18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Consolidation EC Report]" c="Consolidatio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Consolidation Count]" caption="Failed Consolidation Count" numFmtId="0" hierarchy="211" level="32767"/>
    <cacheField name="[Measures].[Failed Consolidation Balance]" caption="Failed Consolidation Balance" numFmtId="0" hierarchy="217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22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1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 oneField="1">
      <fieldsUsage count="1">
        <fieldUsage x="19"/>
      </fieldsUsage>
    </cacheHierarchy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 oneField="1">
      <fieldsUsage count="1">
        <fieldUsage x="20"/>
      </fieldsUsage>
    </cacheHierarchy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9861109" backgroundQuery="1" createdVersion="3" refreshedVersion="4" minRefreshableVersion="3" recordCount="0" supportSubquery="1" supportAdvancedDrill="1">
  <cacheSource type="external" connectionId="1"/>
  <cacheFields count="16">
    <cacheField name="[Dimention LTV Distribution].[Distributions Desc].[Distributions Desc]" caption="Distributions Desc" numFmtId="0" hierarchy="128" level="1" mappingCount="1">
      <sharedItems count="19">
        <s v="[Dimention LTV Distribution].[Distributions Desc].&amp;[3078]" c="&lt;= 5.00%" cp="1">
          <x/>
        </s>
        <s v="[Dimention LTV Distribution].[Distributions Desc].&amp;[3079]" c="05.01% - 10.00%" cp="1">
          <x v="1"/>
        </s>
        <s v="[Dimention LTV Distribution].[Distributions Desc].&amp;[3080]" c="10.01% - 15.00%" cp="1">
          <x v="2"/>
        </s>
        <s v="[Dimention LTV Distribution].[Distributions Desc].&amp;[3081]" c="15.01% - 20.00%" cp="1">
          <x v="3"/>
        </s>
        <s v="[Dimention LTV Distribution].[Distributions Desc].&amp;[3082]" c="20.01% - 25.00%" cp="1">
          <x v="4"/>
        </s>
        <s v="[Dimention LTV Distribution].[Distributions Desc].&amp;[3083]" c="25.01% - 30.00%" cp="1">
          <x v="5"/>
        </s>
        <s v="[Dimention LTV Distribution].[Distributions Desc].&amp;[3084]" c="30.01% - 35.00%" cp="1">
          <x v="6"/>
        </s>
        <s v="[Dimention LTV Distribution].[Distributions Desc].&amp;[3085]" c="35.01% - 40.00%" cp="1">
          <x v="7"/>
        </s>
        <s v="[Dimention LTV Distribution].[Distributions Desc].&amp;[3086]" c="40.01% - 45.00%" cp="1">
          <x v="8"/>
        </s>
        <s v="[Dimention LTV Distribution].[Distributions Desc].&amp;[3087]" c="45.01% - 50.00%" cp="1">
          <x v="9"/>
        </s>
        <s v="[Dimention LTV Distribution].[Distributions Desc].&amp;[3088]" c="50.01% - 55.00%" cp="1">
          <x v="10"/>
        </s>
        <s v="[Dimention LTV Distribution].[Distributions Desc].&amp;[3089]" c="55.01% - 60.00%" cp="1">
          <x v="11"/>
        </s>
        <s v="[Dimention LTV Distribution].[Distributions Desc].&amp;[3090]" c="60.01% - 65.00%" cp="1">
          <x v="12"/>
        </s>
        <s v="[Dimention LTV Distribution].[Distributions Desc].&amp;[3091]" c="65.01% - 70.00%" cp="1">
          <x v="13"/>
        </s>
        <s v="[Dimention LTV Distribution].[Distributions Desc].&amp;[3092]" c="70.01% - 75.00%" cp="1">
          <x v="14"/>
        </s>
        <s v="[Dimention LTV Distribution].[Distributions Desc].&amp;[3093]" c="75.01% - 80.00%" cp="1">
          <x v="15"/>
        </s>
        <s v="[Dimention LTV Distribution].[Distributions Desc].&amp;[3094]" c="80.01% - 85.00%" cp="1">
          <x v="16"/>
        </s>
        <s v="[Dimention LTV Distribution].[Distributions Desc].&amp;[3095]" c="85.01% - 90.00%" cp="1">
          <x v="17"/>
        </s>
        <s v="[Dimention LTV Distribution].[Distributions Desc].&amp;[3096]" c="90.01% - 95.00%" cp="1">
          <x v="18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unt="1">
        <s v="[Dimension Trust].[Dim Trust ID].&amp;[0]" c="UNK"/>
      </sharedItems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tion LTV Distribution].[Distributions Desc].[Distributions Desc].[Sort Key]" caption="Sort Key" propertyName="Sort Key" numFmtId="0" hierarchy="128" level="1" memberPropertyField="1">
      <sharedItems containsSemiMixedTypes="0" containsString="0" containsNumber="1" containsInteger="1" minValue="10" maxValue="190" count="19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2" unbalanced="0">
      <fieldsUsage count="2">
        <fieldUsage x="-1"/>
        <fieldUsage x="0"/>
      </fieldsUsage>
    </cacheHierarchy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32870372" backgroundQuery="1" createdVersion="3" refreshedVersion="4" minRefreshableVersion="3" recordCount="0" supportSubquery="1" supportAdvancedDrill="1">
  <cacheSource type="external" connectionId="1"/>
  <cacheFields count="16">
    <cacheField name="[Dimension Loan Seasoning Distribution].[Distributions Desc].[Distributions Desc]" caption="Distributions Desc" numFmtId="0" hierarchy="67" level="1" mappingCount="1">
      <sharedItems count="14">
        <s v="[Dimension Loan Seasoning Distribution].[Distributions Desc].&amp;[3007]" c="&gt; 3 mths and &lt;= 6 mths" cp="1">
          <x/>
        </s>
        <s v="[Dimension Loan Seasoning Distribution].[Distributions Desc].&amp;[3008]" c="&gt; 6 mths and &lt;= 12 mths" cp="1">
          <x v="1"/>
        </s>
        <s v="[Dimension Loan Seasoning Distribution].[Distributions Desc].&amp;[3009]" c="&gt; 12 mths and &lt;= 18 mths" cp="1">
          <x v="2"/>
        </s>
        <s v="[Dimension Loan Seasoning Distribution].[Distributions Desc].&amp;[3010]" c="&gt; 18 mths and &lt;= 24 mths" cp="1">
          <x v="3"/>
        </s>
        <s v="[Dimension Loan Seasoning Distribution].[Distributions Desc].&amp;[3011]" c="&gt; 24 and &lt;= 36 mths" cp="1">
          <x v="4"/>
        </s>
        <s v="[Dimension Loan Seasoning Distribution].[Distributions Desc].&amp;[3012]" c="&gt; 36 and &lt;= 48 mths" cp="1">
          <x v="5"/>
        </s>
        <s v="[Dimension Loan Seasoning Distribution].[Distributions Desc].&amp;[3013]" c="&gt; 48 and &lt;= 60 mths" cp="1">
          <x v="6"/>
        </s>
        <s v="[Dimension Loan Seasoning Distribution].[Distributions Desc].&amp;[3014]" c="&gt; 60 and &lt;= 72 mths" cp="1">
          <x v="7"/>
        </s>
        <s v="[Dimension Loan Seasoning Distribution].[Distributions Desc].&amp;[3015]" c="&gt; 72 and &lt;= 84 mths" cp="1">
          <x v="8"/>
        </s>
        <s v="[Dimension Loan Seasoning Distribution].[Distributions Desc].&amp;[3016]" c="&gt; 84 and &lt;= 96 mths" cp="1">
          <x v="9"/>
        </s>
        <s v="[Dimension Loan Seasoning Distribution].[Distributions Desc].&amp;[3017]" c="&gt; 96 and &lt;= 108 mths" cp="1">
          <x v="10"/>
        </s>
        <s v="[Dimension Loan Seasoning Distribution].[Distributions Desc].&amp;[3018]" c="&gt; 108 and &lt;= 120 mths" cp="1">
          <x v="11"/>
        </s>
        <s v="[Dimension Loan Seasoning Distribution].[Distributions Desc].&amp;[3019]" c="&gt; 120 and &lt;= 150 mths" cp="1">
          <x v="12"/>
        </s>
        <s v="[Dimension Loan Seasoning Distribution].[Distributions Desc].&amp;[3020]" c="&gt; 150 mths" cp="1">
          <x v="13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Loan Seasoning Distribution].[Distributions Desc].[Distributions Desc].[Sort Key]" caption="Sort Key" propertyName="Sort Key" numFmtId="0" hierarchy="67" level="1" memberPropertyField="1">
      <sharedItems containsSemiMixedTypes="0" containsString="0" containsNumber="1" containsInteger="1" minValue="20" maxValue="150" count="14"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2" unbalanced="0">
      <fieldsUsage count="2">
        <fieldUsage x="-1"/>
        <fieldUsage x="0"/>
      </fieldsUsage>
    </cacheHierarchy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37037036" backgroundQuery="1" createdVersion="3" refreshedVersion="4" minRefreshableVersion="3" recordCount="0" supportSubquery="1" supportAdvancedDrill="1">
  <cacheSource type="external" connectionId="1"/>
  <cacheFields count="16">
    <cacheField name="[Dimension Limit LTV Distribution].[Distributions Desc].[Distributions Desc]" caption="Distributions Desc" numFmtId="0" hierarchy="56" level="1" mappingCount="1">
      <sharedItems count="23">
        <s v="[Dimension Limit LTV Distribution].[Distributions Desc].&amp;[3101]" c="&lt;= 5.00%" cp="1">
          <x/>
        </s>
        <s v="[Dimension Limit LTV Distribution].[Distributions Desc].&amp;[3102]" c="05.01% - 10.00%" cp="1">
          <x v="1"/>
        </s>
        <s v="[Dimension Limit LTV Distribution].[Distributions Desc].&amp;[3103]" c="10.01% - 15.00%" cp="1">
          <x v="2"/>
        </s>
        <s v="[Dimension Limit LTV Distribution].[Distributions Desc].&amp;[3104]" c="15.01% - 20.00%" cp="1">
          <x v="3"/>
        </s>
        <s v="[Dimension Limit LTV Distribution].[Distributions Desc].&amp;[3105]" c="20.01% - 25.00%" cp="1">
          <x v="4"/>
        </s>
        <s v="[Dimension Limit LTV Distribution].[Distributions Desc].&amp;[3106]" c="25.01% - 30.00%" cp="1">
          <x v="5"/>
        </s>
        <s v="[Dimension Limit LTV Distribution].[Distributions Desc].&amp;[3107]" c="30.01% - 35.00%" cp="1">
          <x v="6"/>
        </s>
        <s v="[Dimension Limit LTV Distribution].[Distributions Desc].&amp;[3108]" c="35.01% - 40.00%" cp="1">
          <x v="7"/>
        </s>
        <s v="[Dimension Limit LTV Distribution].[Distributions Desc].&amp;[3109]" c="40.01% - 45.00%" cp="1">
          <x v="8"/>
        </s>
        <s v="[Dimension Limit LTV Distribution].[Distributions Desc].&amp;[3110]" c="45.01% - 50.00%" cp="1">
          <x v="9"/>
        </s>
        <s v="[Dimension Limit LTV Distribution].[Distributions Desc].&amp;[3111]" c="50.01% - 55.00%" cp="1">
          <x v="10"/>
        </s>
        <s v="[Dimension Limit LTV Distribution].[Distributions Desc].&amp;[3112]" c="55.01% - 60.00%" cp="1">
          <x v="11"/>
        </s>
        <s v="[Dimension Limit LTV Distribution].[Distributions Desc].&amp;[3113]" c="60.01% - 65.00%" cp="1">
          <x v="12"/>
        </s>
        <s v="[Dimension Limit LTV Distribution].[Distributions Desc].&amp;[3114]" c="65.01% - 70.00%" cp="1">
          <x v="13"/>
        </s>
        <s v="[Dimension Limit LTV Distribution].[Distributions Desc].&amp;[3115]" c="70.01% - 75.00%" cp="1">
          <x v="14"/>
        </s>
        <s v="[Dimension Limit LTV Distribution].[Distributions Desc].&amp;[3116]" c="75.01% - 80.00%" cp="1">
          <x v="15"/>
        </s>
        <s v="[Dimension Limit LTV Distribution].[Distributions Desc].&amp;[3117]" c="80.01% - 85.00%" cp="1">
          <x v="16"/>
        </s>
        <s v="[Dimension Limit LTV Distribution].[Distributions Desc].&amp;[3118]" c="85.01% - 90.00%" cp="1">
          <x v="17"/>
        </s>
        <s v="[Dimension Limit LTV Distribution].[Distributions Desc].&amp;[3119]" c="90.01% - 95.00%" cp="1">
          <x v="18"/>
        </s>
        <s v="[Dimension Limit LTV Distribution].[Distributions Desc].&amp;[3120]" c="95.01% - 100.00%" cp="1">
          <x v="19"/>
        </s>
        <s v="[Dimension Limit LTV Distribution].[Distributions Desc].&amp;[3121]" c="100.01% - 105.00%" cp="1">
          <x v="20"/>
        </s>
        <s v="[Dimension Limit LTV Distribution].[Distributions Desc].&amp;[3122]" c="105.01% - 110.00%" cp="1">
          <x v="21"/>
        </s>
        <s v="[Dimension Limit LTV Distribution].[Distributions Desc].&amp;[3123]" c="&gt; 110.00%" cp="1">
          <x v="22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Limit LTV Distribution].[Distributions Desc].[Distributions Desc].[Sort Key]" caption="Sort Key" propertyName="Sort Key" numFmtId="0" hierarchy="56" level="1" memberPropertyField="1">
      <sharedItems containsSemiMixedTypes="0" containsString="0" containsNumber="1" containsInteger="1" minValue="10" maxValue="230" count="23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2" unbalanced="0">
      <fieldsUsage count="2">
        <fieldUsage x="-1"/>
        <fieldUsage x="0"/>
      </fieldsUsage>
    </cacheHierarchy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1782409" backgroundQuery="1" createdVersion="3" refreshedVersion="4" minRefreshableVersion="3" recordCount="0" supportSubquery="1" supportAdvancedDrill="1">
  <cacheSource type="external" connectionId="1"/>
  <cacheFields count="28">
    <cacheField name="[Dimension Main Static Security].[Geography].[Country Code]" caption="Country Code" numFmtId="0" hierarchy="88" level="1">
      <sharedItems containsSemiMixedTypes="0" containsString="0"/>
    </cacheField>
    <cacheField name="[Dimension Main Static Security].[Geography].[Region]" caption="Region" numFmtId="0" hierarchy="88" level="2">
      <sharedItems containsSemiMixedTypes="0" containsString="0"/>
    </cacheField>
    <cacheField name="[Dimension Main Static Security].[Geography].[Dim Security ID]" caption="Dim Security ID" numFmtId="0" hierarchy="88" level="3">
      <sharedItems containsSemiMixedTypes="0" containsString="0"/>
    </cacheField>
    <cacheField name="[Dimension Main Static Security].[Geography].[Region].[Country Code]" caption="Country Code" propertyName="Country Code" numFmtId="0" hierarchy="88" level="2" memberPropertyField="1">
      <sharedItems containsSemiMixedTypes="0" containsString="0"/>
    </cacheField>
    <cacheField name="[Dimension Main Static Security].[Geography].[Dim Security ID].[Dim Pool ID]" caption="Dim Pool ID" propertyName="Dim Pool ID" numFmtId="0" hierarchy="88" level="3" memberPropertyField="1">
      <sharedItems containsSemiMixedTypes="0" containsString="0"/>
    </cacheField>
    <cacheField name="[Dimension Main Static Security].[Geography].[Dim Security ID].[Occupancy Purpose Code]" caption="Occupancy Purpose Code" propertyName="Occupancy Purpose Code" numFmtId="0" hierarchy="88" level="3" memberPropertyField="1">
      <sharedItems containsSemiMixedTypes="0" containsString="0"/>
    </cacheField>
    <cacheField name="[Dimension Main Static Security].[Geography].[Dim Security ID].[Occupancy Purpose Desc]" caption="Occupancy Purpose Desc" propertyName="Occupancy Purpose Desc" numFmtId="0" hierarchy="88" level="3" memberPropertyField="1">
      <sharedItems containsSemiMixedTypes="0" containsString="0"/>
    </cacheField>
    <cacheField name="[Dimension Main Static Security].[Geography].[Dim Security ID].[Post Code]" caption="Post Code" propertyName="Post Code" numFmtId="0" hierarchy="88" level="3" memberPropertyField="1">
      <sharedItems containsSemiMixedTypes="0" containsString="0"/>
    </cacheField>
    <cacheField name="[Dimension Main Static Security].[Geography].[Dim Security ID].[Property Type Code]" caption="Property Type Code" propertyName="Property Type Code" numFmtId="0" hierarchy="88" level="3" memberPropertyField="1">
      <sharedItems containsSemiMixedTypes="0" containsString="0"/>
    </cacheField>
    <cacheField name="[Dimension Main Static Security].[Geography].[Dim Security ID].[Property Type Desc]" caption="Property Type Desc" propertyName="Property Type Desc" numFmtId="0" hierarchy="88" level="3" memberPropertyField="1">
      <sharedItems containsSemiMixedTypes="0" containsString="0"/>
    </cacheField>
    <cacheField name="[Dimension Main Static Security].[Geography].[Dim Security ID].[Region]" caption="Region" propertyName="Region" numFmtId="0" hierarchy="88" level="3" memberPropertyField="1">
      <sharedItems containsSemiMixedTypes="0" containsString="0"/>
    </cacheField>
    <cacheField name="[Dimension Main Static Security].[Geography].[Dim Security ID].[State]" caption="State" propertyName="State" numFmtId="0" hierarchy="88" level="3" memberPropertyField="1">
      <sharedItems containsSemiMixedTypes="0" containsString="0"/>
    </cacheField>
    <cacheField name="[Dimension Main Static Security].[Geography].[Dim Security ID].[Suburb]" caption="Suburb" propertyName="Suburb" numFmtId="0" hierarchy="88" level="3" memberPropertyField="1">
      <sharedItems containsSemiMixedTypes="0" containsString="0"/>
    </cacheField>
    <cacheField name="[Dimension Loan].[Payment Type Desc].[Payment Type Desc]" caption="Payment Type Desc" numFmtId="0" hierarchy="63" level="1">
      <sharedItems count="2">
        <s v="[Dimension Loan].[Payment Type Desc].&amp;[Interest Only]" c="Interest Only"/>
        <s v="[Dimension Loan].[Payment Type Desc].&amp;[Principal and Interest]" c="Principal and Interest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2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2" unbalanced="0">
      <fieldsUsage count="2">
        <fieldUsage x="-1"/>
        <fieldUsage x="13"/>
      </fieldsUsage>
    </cacheHierarchy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4" unbalanced="0">
      <fieldsUsage count="4">
        <fieldUsage x="-1"/>
        <fieldUsage x="0"/>
        <fieldUsage x="1"/>
        <fieldUsage x="2"/>
      </fieldsUsage>
    </cacheHierarchy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6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6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4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5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20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21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9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4791665" backgroundQuery="1" createdVersion="3" refreshedVersion="4" minRefreshableVersion="3" recordCount="0" supportSubquery="1" supportAdvancedDrill="1">
  <cacheSource type="external" connectionId="1"/>
  <cacheFields count="15"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Main Security].[Occupancy Purpose Desc].[Occupancy Purpose Desc]" caption="Occupancy Purpose Desc" numFmtId="0" hierarchy="79" level="1">
      <sharedItems count="4">
        <s v="[Dimension Main Security].[Occupancy Purpose Desc].&amp;[Non-owner occupied]" c="Non-owner occupied"/>
        <s v="[Dimension Main Security].[Occupancy Purpose Desc].&amp;[Owner occupied-primary residence]" c="Owner occupied-primary residence"/>
        <s v="[Dimension Main Security].[Occupancy Purpose Desc].&amp;[Owner occupied-secondary residence]" c="Owner occupied-secondary residence"/>
        <s v="[Dimension Main Security].[Occupancy Purpose Desc].&amp;[Vacant]" c="Vacant"/>
      </sharedItems>
    </cacheField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2" unbalanced="0">
      <fieldsUsage count="2">
        <fieldUsage x="-1"/>
        <fieldUsage x="2"/>
      </fieldsUsage>
    </cacheHierarchy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4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7337966" backgroundQuery="1" createdVersion="3" refreshedVersion="4" minRefreshableVersion="3" recordCount="0" supportSubquery="1" supportAdvancedDrill="1">
  <cacheSource type="external" connectionId="1"/>
  <cacheFields count="14"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Loan].[Scrubbed Flag].[Scrubbed Flag]" caption="Scrubbed Flag" numFmtId="0" hierarchy="65" level="1">
      <sharedItems count="2">
        <s v="[Dimension Loan].[Scrubbed Flag].&amp;[N]" c="N"/>
        <s v="[Dimension Loan].[Scrubbed Flag].&amp;[Y]" c="Y"/>
      </sharedItems>
    </cacheField>
    <cacheField name="[Measures].[Current Principal Balance]" caption="Current Principal Balance" numFmtId="0" hierarchy="135" level="32767"/>
    <cacheField name="[Measures].[Fact Loan Count]" caption="Fact Loan Count" numFmtId="0" hierarchy="134" level="32767"/>
    <cacheField name="[Measures].[Fact Loan Average Balance Per Loan]" caption="Fact Loan Average Balance Per Loan" numFmtId="0" hierarchy="185" level="32767"/>
    <cacheField name="[Measures].[Fact Loan Balance Portion Percentage]" caption="Fact Loan Balance Portion Percentage" numFmtId="0" hierarchy="180" level="32767"/>
    <cacheField name="[Measures].[Fact Loan Number Portion Percentage]" caption="Fact Loan Number Portion Percentage" numFmtId="0" hierarchy="175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2" unbalanced="0">
      <fieldsUsage count="2">
        <fieldUsage x="-1"/>
        <fieldUsage x="6"/>
      </fieldsUsage>
    </cacheHierarchy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8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7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1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0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9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0925923" backgroundQuery="1" createdVersion="3" refreshedVersion="4" minRefreshableVersion="3" recordCount="0" supportSubquery="1" supportAdvancedDrill="1">
  <cacheSource type="external" connectionId="1"/>
  <cacheFields count="15"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Main Security].[Property Type Desc].[Property Type Desc]" caption="Property Type Desc" numFmtId="0" hierarchy="81" level="1">
      <sharedItems count="18">
        <s v="[Dimension Main Security].[Property Type Desc].&amp;[Company Title Unit]&amp;[AUS]" c="Company Title Unit"/>
        <s v="[Dimension Main Security].[Property Type Desc].&amp;[Converted Commercial Property]&amp;[AUS]" c="Converted Commercial Property"/>
        <s v="[Dimension Main Security].[Property Type Desc].&amp;[Converted Industrial Property]&amp;[AUS]" c="Converted Industrial Property"/>
        <s v="[Dimension Main Security].[Property Type Desc].&amp;[Detached House]&amp;[AUS]" c="Detached House"/>
        <s v="[Dimension Main Security].[Property Type Desc].&amp;[Duplex]&amp;[AUS]" c="Duplex"/>
        <s v="[Dimension Main Security].[Property Type Desc].&amp;[Government Rental Guarantee]&amp;[AUS]" c="Government Rental Guarantee"/>
        <s v="[Dimension Main Security].[Property Type Desc].&amp;[Holiday Home]&amp;[AUS]" c="Holiday Home"/>
        <s v="[Dimension Main Security].[Property Type Desc].&amp;[Holiday Rental]&amp;[AUS]" c="Holiday Rental"/>
        <s v="[Dimension Main Security].[Property Type Desc].&amp;[Licensed Builder - House Construction]&amp;[AUS]" c="Licensed Builder - House Construction"/>
        <s v="[Dimension Main Security].[Property Type Desc].&amp;[Newly Built Strata Title Unit]&amp;[AUS]" c="Newly Built Strata Title Unit"/>
        <s v="[Dimension Main Security].[Property Type Desc].&amp;[Owner Builder - House Construction]&amp;[AUS]" c="Owner Builder - House Construction"/>
        <s v="[Dimension Main Security].[Property Type Desc].&amp;[Rental Guarantee]&amp;[AUS]" c="Rental Guarantee"/>
        <s v="[Dimension Main Security].[Property Type Desc].&amp;[Semi-Detached House]&amp;[AUS]" c="Semi-Detached House"/>
        <s v="[Dimension Main Security].[Property Type Desc].&amp;[Strata Title Unit]&amp;[AUS]" c="Strata Title Unit"/>
        <s v="[Dimension Main Security].[Property Type Desc].&amp;[Terrace]&amp;[AUS]" c="Terrace"/>
        <s v="[Dimension Main Security].[Property Type Desc].&amp;[Time Share Property]&amp;[AUS]" c="Time Share Property"/>
        <s v="[Dimension Main Security].[Property Type Desc].&amp;[Townhouse]&amp;[AUS]" c="Townhouse"/>
        <s v="[Dimension Main Security].[Property Type Desc].&amp;[Villa]&amp;[AUS]" c="Villa"/>
      </sharedItems>
    </cacheField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2" unbalanced="0">
      <fieldsUsage count="2">
        <fieldUsage x="-1"/>
        <fieldUsage x="11"/>
      </fieldsUsage>
    </cacheHierarchy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6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4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2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3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3587963" backgroundQuery="1" createdVersion="3" refreshedVersion="4" minRefreshableVersion="3" recordCount="0" supportSubquery="1" supportAdvancedDrill="1">
  <cacheSource type="external" connectionId="1"/>
  <cacheFields count="26">
    <cacheField name="[Dimension Main Security].[Geography - Region].[Country Code]" caption="Country Code" numFmtId="0" hierarchy="76" level="1">
      <sharedItems count="1">
        <s v="[Dimension Main Security].[Geography - Region].[Country Code].&amp;[AUS]" c="AUS"/>
      </sharedItems>
    </cacheField>
    <cacheField name="[Dimension Main Security].[Geography - Region].[Region]" caption="Region" numFmtId="0" hierarchy="76" level="2" mappingCount="1">
      <sharedItems count="17">
        <s v="[Dimension Main Security].[Geography - Region].[Region].&amp;[Australian Capital Territory - Metropolitan]&amp;[AUS]" c="Australian Capital Territory - Metropolitan" cp="1">
          <x/>
        </s>
        <s v="[Dimension Main Security].[Geography - Region].[Region].&amp;[New South Wales - Other]&amp;[AUS]" c="New South Wales - Other" cp="1">
          <x/>
        </s>
        <s v="[Dimension Main Security].[Geography - Region].[Region].&amp;[New South Wales - Sydney Metropolitan]&amp;[AUS]" c="New South Wales - Sydney Metropolitan" cp="1">
          <x/>
        </s>
        <s v="[Dimension Main Security].[Geography - Region].[Region].&amp;[Northern Territory - Darwin Metropolitan]&amp;[AUS]" c="Northern Territory - Darwin Metropolitan" cp="1">
          <x/>
        </s>
        <s v="[Dimension Main Security].[Geography - Region].[Region].&amp;[Northern Territory - Metropolitan]&amp;[AUS]" c="Northern Territory - Metropolitan" cp="1">
          <x/>
        </s>
        <s v="[Dimension Main Security].[Geography - Region].[Region].&amp;[Northern Territory - Other]&amp;[AUS]" c="Northern Territory - Other" cp="1">
          <x/>
        </s>
        <s v="[Dimension Main Security].[Geography - Region].[Region].&amp;[Queensland - Brisbane Metropolitan]&amp;[AUS]" c="Queensland - Brisbane Metropolitan" cp="1">
          <x/>
        </s>
        <s v="[Dimension Main Security].[Geography - Region].[Region].&amp;[Queensland - Other]&amp;[AUS]" c="Queensland - Other" cp="1">
          <x/>
        </s>
        <s v="[Dimension Main Security].[Geography - Region].[Region].&amp;[South Australia - Adelaide Metropolitan]&amp;[AUS]" c="South Australia - Adelaide Metropolitan" cp="1">
          <x/>
        </s>
        <s v="[Dimension Main Security].[Geography - Region].[Region].&amp;[South Australia - Other]&amp;[AUS]" c="South Australia - Other" cp="1">
          <x/>
        </s>
        <s v="[Dimension Main Security].[Geography - Region].[Region].&amp;[Tasmania - Hobart Metropolitan]&amp;[AUS]" c="Tasmania - Hobart Metropolitan" cp="1">
          <x/>
        </s>
        <s v="[Dimension Main Security].[Geography - Region].[Region].&amp;[Tasmania - Other]&amp;[AUS]" c="Tasmania - Other" cp="1">
          <x/>
        </s>
        <s v="[Dimension Main Security].[Geography - Region].[Region].&amp;[Unknown]&amp;[AUS]" c="Unknown" cp="1">
          <x/>
        </s>
        <s v="[Dimension Main Security].[Geography - Region].[Region].&amp;[Victoria - Metropolitan]&amp;[AUS]" c="Victoria - Metropolitan" cp="1">
          <x/>
        </s>
        <s v="[Dimension Main Security].[Geography - Region].[Region].&amp;[Victoria - Other]&amp;[AUS]" c="Victoria - Other" cp="1">
          <x/>
        </s>
        <s v="[Dimension Main Security].[Geography - Region].[Region].&amp;[Western Australia - Other]&amp;[AUS]" c="Western Australia - Other" cp="1">
          <x/>
        </s>
        <s v="[Dimension Main Security].[Geography - Region].[Region].&amp;[Western Australia - Perth Metropolitan]&amp;[AUS]" c="Western Australia - Perth Metropolitan" cp="1">
          <x/>
        </s>
      </sharedItems>
      <mpMap v="3"/>
    </cacheField>
    <cacheField name="[Dimension Main Security].[Geography - Region].[Dim Security ID]" caption="Dim Security ID" numFmtId="0" hierarchy="76" level="3">
      <sharedItems containsSemiMixedTypes="0" containsString="0"/>
    </cacheField>
    <cacheField name="[Dimension Main Security].[Geography - Region].[Region].[Country Code]" caption="Country Code" propertyName="Country Code" numFmtId="0" hierarchy="76" level="2" memberPropertyField="1">
      <sharedItems count="1">
        <s v="AUS"/>
      </sharedItems>
    </cacheField>
    <cacheField name="[Dimension Main Security].[Geography - Region].[Dim Security ID].[Dim Pool ID]" caption="Dim Pool ID" propertyName="Dim Pool ID" numFmtId="0" hierarchy="76" level="3" memberPropertyField="1">
      <sharedItems containsSemiMixedTypes="0" containsString="0"/>
    </cacheField>
    <cacheField name="[Dimension Main Security].[Geography - Region].[Dim Security ID].[Occupancy Purpose Code]" caption="Occupancy Purpose Code" propertyName="Occupancy Purpose Code" numFmtId="0" hierarchy="76" level="3" memberPropertyField="1">
      <sharedItems containsSemiMixedTypes="0" containsString="0"/>
    </cacheField>
    <cacheField name="[Dimension Main Security].[Geography - Region].[Dim Security ID].[Occupancy Purpose Desc]" caption="Occupancy Purpose Desc" propertyName="Occupancy Purpose Desc" numFmtId="0" hierarchy="76" level="3" memberPropertyField="1">
      <sharedItems containsSemiMixedTypes="0" containsString="0"/>
    </cacheField>
    <cacheField name="[Dimension Main Security].[Geography - Region].[Dim Security ID].[Property Type Code]" caption="Property Type Code" propertyName="Property Type Code" numFmtId="0" hierarchy="76" level="3" memberPropertyField="1">
      <sharedItems containsSemiMixedTypes="0" containsString="0"/>
    </cacheField>
    <cacheField name="[Dimension Main Security].[Geography - Region].[Dim Security ID].[Property Type Desc]" caption="Property Type Desc" propertyName="Property Type Desc" numFmtId="0" hierarchy="76" level="3" memberPropertyField="1">
      <sharedItems containsSemiMixedTypes="0" containsString="0"/>
    </cacheField>
    <cacheField name="[Dimension Main Security].[Geography - Region].[Dim Security ID].[Region]" caption="Region" propertyName="Region" numFmtId="0" hierarchy="76" level="3" memberPropertyField="1">
      <sharedItems containsSemiMixedTypes="0" containsString="0"/>
    </cacheField>
    <cacheField name="[Dimension Main Security].[Geography - Region].[Dim Security ID].[State]" caption="State" propertyName="State" numFmtId="0" hierarchy="76" level="3" memberPropertyField="1">
      <sharedItems containsSemiMixedTypes="0" containsString="0"/>
    </cacheField>
    <cacheField name="[Dimension Main Security].[Geography - Region].[Dim Security ID].[Suburb]" caption="Suburb" propertyName="Suburb" numFmtId="0" hierarchy="76" level="3" memberPropertyField="1">
      <sharedItems containsSemiMixedTypes="0" containsString="0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Region Main Security Loan Number Portion Percentage]" caption="Region Main Security Loan Number Portion Percentage" numFmtId="0" hierarchy="176" level="32767"/>
    <cacheField name="[Measures].[Region Main Security Loan Balance Portion Percentage]" caption="Region Main Security Loan Balance Portion Percentage" numFmtId="0" hierarchy="179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4" unbalanced="0">
      <fieldsUsage count="4">
        <fieldUsage x="-1"/>
        <fieldUsage x="0"/>
        <fieldUsage x="1"/>
        <fieldUsage x="2"/>
      </fieldsUsage>
    </cacheHierarchy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4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4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25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2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3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 oneField="1">
      <fieldsUsage count="1">
        <fieldUsage x="18"/>
      </fieldsUsage>
    </cacheHierarchy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 oneField="1">
      <fieldsUsage count="1">
        <fieldUsage x="19"/>
      </fieldsUsage>
    </cacheHierarchy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7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9722221" backgroundQuery="1" createdVersion="3" refreshedVersion="4" minRefreshableVersion="3" recordCount="0" supportSubquery="1" supportAdvancedDrill="1">
  <cacheSource type="external" connectionId="1"/>
  <cacheFields count="16">
    <cacheField name="[Dim Loan Maturity Date].[Calendar Year].[Calendar Year]" caption="Calendar Year" numFmtId="0" hierarchy="14" level="1">
      <sharedItems containsSemiMixedTypes="0" containsString="0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 Loan Maturity Date].[Display Calendar Year].[Display Calendar Year]" caption="Display Calendar Year" numFmtId="0" hierarchy="17" level="1">
      <sharedItems count="30">
        <s v="[Dim Loan Maturity Date].[Display Calendar Year].&amp;[2013]" c="2013"/>
        <s v="[Dim Loan Maturity Date].[Display Calendar Year].&amp;[2014]" c="2014"/>
        <s v="[Dim Loan Maturity Date].[Display Calendar Year].&amp;[2015]" c="2015"/>
        <s v="[Dim Loan Maturity Date].[Display Calendar Year].&amp;[2016]" c="2016"/>
        <s v="[Dim Loan Maturity Date].[Display Calendar Year].&amp;[2017]" c="2017"/>
        <s v="[Dim Loan Maturity Date].[Display Calendar Year].&amp;[2018]" c="2018"/>
        <s v="[Dim Loan Maturity Date].[Display Calendar Year].&amp;[2019]" c="2019"/>
        <s v="[Dim Loan Maturity Date].[Display Calendar Year].&amp;[2020]" c="2020"/>
        <s v="[Dim Loan Maturity Date].[Display Calendar Year].&amp;[2021]" c="2021"/>
        <s v="[Dim Loan Maturity Date].[Display Calendar Year].&amp;[2022]" c="2022"/>
        <s v="[Dim Loan Maturity Date].[Display Calendar Year].&amp;[2023]" c="2023"/>
        <s v="[Dim Loan Maturity Date].[Display Calendar Year].&amp;[2024]" c="2024"/>
        <s v="[Dim Loan Maturity Date].[Display Calendar Year].&amp;[2025]" c="2025"/>
        <s v="[Dim Loan Maturity Date].[Display Calendar Year].&amp;[2026]" c="2026"/>
        <s v="[Dim Loan Maturity Date].[Display Calendar Year].&amp;[2027]" c="2027"/>
        <s v="[Dim Loan Maturity Date].[Display Calendar Year].&amp;[2028]" c="2028"/>
        <s v="[Dim Loan Maturity Date].[Display Calendar Year].&amp;[2029]" c="2029"/>
        <s v="[Dim Loan Maturity Date].[Display Calendar Year].&amp;[2030]" c="2030"/>
        <s v="[Dim Loan Maturity Date].[Display Calendar Year].&amp;[2031]" c="2031"/>
        <s v="[Dim Loan Maturity Date].[Display Calendar Year].&amp;[2032]" c="2032"/>
        <s v="[Dim Loan Maturity Date].[Display Calendar Year].&amp;[2033]" c="2033"/>
        <s v="[Dim Loan Maturity Date].[Display Calendar Year].&amp;[2034]" c="2034"/>
        <s v="[Dim Loan Maturity Date].[Display Calendar Year].&amp;[2035]" c="2035"/>
        <s v="[Dim Loan Maturity Date].[Display Calendar Year].&amp;[2036]" c="2036"/>
        <s v="[Dim Loan Maturity Date].[Display Calendar Year].&amp;[2037]" c="2037"/>
        <s v="[Dim Loan Maturity Date].[Display Calendar Year].&amp;[2038]" c="2038"/>
        <s v="[Dim Loan Maturity Date].[Display Calendar Year].&amp;[2039]" c="2039"/>
        <s v="[Dim Loan Maturity Date].[Display Calendar Year].&amp;[2040]" c="2040"/>
        <s v="[Dim Loan Maturity Date].[Display Calendar Year].&amp;[2041]" c="2041"/>
        <s v="[Dim Loan Maturity Date].[Display Calendar Year].&amp;[2042]" c="2042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2" unbalanced="0">
      <fieldsUsage count="2">
        <fieldUsage x="-1"/>
        <fieldUsage x="0"/>
      </fieldsUsage>
    </cacheHierarchy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2" unbalanced="0">
      <fieldsUsage count="2">
        <fieldUsage x="-1"/>
        <fieldUsage x="14"/>
      </fieldsUsage>
    </cacheHierarchy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564351851" backgroundQuery="1" createdVersion="3" refreshedVersion="4" minRefreshableVersion="3" recordCount="0" supportSubquery="1" supportAdvancedDrill="1">
  <cacheSource type="external" connectionId="1"/>
  <cacheFields count="17">
    <cacheField name="[Dim Fixed Rate End Date].[Calendar Year Month].[Calendar Year Month]" caption="Calendar Year Month" numFmtId="0" hierarchy="3" level="1">
      <sharedItems count="1">
        <s v="[Dim Fixed Rate End Date].[Calendar Year Month].&amp;[1890-01]" c="1890-01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 Fixed Rate End Date].[Display Calendar Year-Month].[Display Calendar Year-Month]" caption="Display Calendar Year-Month" numFmtId="0" hierarchy="6" level="1">
      <sharedItems count="60">
        <s v="[Dim Fixed Rate End Date].[Display Calendar Year-Month].&amp;[2012-08]" c="2012-08"/>
        <s v="[Dim Fixed Rate End Date].[Display Calendar Year-Month].&amp;[2012-09]" c="2012-09"/>
        <s v="[Dim Fixed Rate End Date].[Display Calendar Year-Month].&amp;[2012-10]" c="2012-10"/>
        <s v="[Dim Fixed Rate End Date].[Display Calendar Year-Month].&amp;[2012-11]" c="2012-11"/>
        <s v="[Dim Fixed Rate End Date].[Display Calendar Year-Month].&amp;[2012-12]" c="2012-12"/>
        <s v="[Dim Fixed Rate End Date].[Display Calendar Year-Month].&amp;[2013-01]" c="2013-01"/>
        <s v="[Dim Fixed Rate End Date].[Display Calendar Year-Month].&amp;[2013-02]" c="2013-02"/>
        <s v="[Dim Fixed Rate End Date].[Display Calendar Year-Month].&amp;[2013-03]" c="2013-03"/>
        <s v="[Dim Fixed Rate End Date].[Display Calendar Year-Month].&amp;[2013-04]" c="2013-04"/>
        <s v="[Dim Fixed Rate End Date].[Display Calendar Year-Month].&amp;[2013-05]" c="2013-05"/>
        <s v="[Dim Fixed Rate End Date].[Display Calendar Year-Month].&amp;[2013-06]" c="2013-06"/>
        <s v="[Dim Fixed Rate End Date].[Display Calendar Year-Month].&amp;[2013-07]" c="2013-07"/>
        <s v="[Dim Fixed Rate End Date].[Display Calendar Year-Month].&amp;[2013-08]" c="2013-08"/>
        <s v="[Dim Fixed Rate End Date].[Display Calendar Year-Month].&amp;[2013-09]" c="2013-09"/>
        <s v="[Dim Fixed Rate End Date].[Display Calendar Year-Month].&amp;[2013-10]" c="2013-10"/>
        <s v="[Dim Fixed Rate End Date].[Display Calendar Year-Month].&amp;[2013-11]" c="2013-11"/>
        <s v="[Dim Fixed Rate End Date].[Display Calendar Year-Month].&amp;[2013-12]" c="2013-12"/>
        <s v="[Dim Fixed Rate End Date].[Display Calendar Year-Month].&amp;[2014-01]" c="2014-01"/>
        <s v="[Dim Fixed Rate End Date].[Display Calendar Year-Month].&amp;[2014-02]" c="2014-02"/>
        <s v="[Dim Fixed Rate End Date].[Display Calendar Year-Month].&amp;[2014-03]" c="2014-03"/>
        <s v="[Dim Fixed Rate End Date].[Display Calendar Year-Month].&amp;[2014-04]" c="2014-04"/>
        <s v="[Dim Fixed Rate End Date].[Display Calendar Year-Month].&amp;[2014-05]" c="2014-05"/>
        <s v="[Dim Fixed Rate End Date].[Display Calendar Year-Month].&amp;[2014-06]" c="2014-06"/>
        <s v="[Dim Fixed Rate End Date].[Display Calendar Year-Month].&amp;[2014-07]" c="2014-07"/>
        <s v="[Dim Fixed Rate End Date].[Display Calendar Year-Month].&amp;[2014-08]" c="2014-08"/>
        <s v="[Dim Fixed Rate End Date].[Display Calendar Year-Month].&amp;[2014-09]" c="2014-09"/>
        <s v="[Dim Fixed Rate End Date].[Display Calendar Year-Month].&amp;[2014-10]" c="2014-10"/>
        <s v="[Dim Fixed Rate End Date].[Display Calendar Year-Month].&amp;[2014-11]" c="2014-11"/>
        <s v="[Dim Fixed Rate End Date].[Display Calendar Year-Month].&amp;[2014-12]" c="2014-12"/>
        <s v="[Dim Fixed Rate End Date].[Display Calendar Year-Month].&amp;[2015-01]" c="2015-01"/>
        <s v="[Dim Fixed Rate End Date].[Display Calendar Year-Month].&amp;[2015-02]" c="2015-02"/>
        <s v="[Dim Fixed Rate End Date].[Display Calendar Year-Month].&amp;[2015-03]" c="2015-03"/>
        <s v="[Dim Fixed Rate End Date].[Display Calendar Year-Month].&amp;[2015-04]" c="2015-04"/>
        <s v="[Dim Fixed Rate End Date].[Display Calendar Year-Month].&amp;[2015-05]" c="2015-05"/>
        <s v="[Dim Fixed Rate End Date].[Display Calendar Year-Month].&amp;[2015-06]" c="2015-06"/>
        <s v="[Dim Fixed Rate End Date].[Display Calendar Year-Month].&amp;[2015-07]" c="2015-07"/>
        <s v="[Dim Fixed Rate End Date].[Display Calendar Year-Month].&amp;[2015-08]" c="2015-08"/>
        <s v="[Dim Fixed Rate End Date].[Display Calendar Year-Month].&amp;[2015-09]" c="2015-09"/>
        <s v="[Dim Fixed Rate End Date].[Display Calendar Year-Month].&amp;[2015-10]" c="2015-10"/>
        <s v="[Dim Fixed Rate End Date].[Display Calendar Year-Month].&amp;[2015-11]" c="2015-11"/>
        <s v="[Dim Fixed Rate End Date].[Display Calendar Year-Month].&amp;[2015-12]" c="2015-12"/>
        <s v="[Dim Fixed Rate End Date].[Display Calendar Year-Month].&amp;[2016-01]" c="2016-01"/>
        <s v="[Dim Fixed Rate End Date].[Display Calendar Year-Month].&amp;[2016-02]" c="2016-02"/>
        <s v="[Dim Fixed Rate End Date].[Display Calendar Year-Month].&amp;[2016-03]" c="2016-03"/>
        <s v="[Dim Fixed Rate End Date].[Display Calendar Year-Month].&amp;[2016-04]" c="2016-04"/>
        <s v="[Dim Fixed Rate End Date].[Display Calendar Year-Month].&amp;[2016-05]" c="2016-05"/>
        <s v="[Dim Fixed Rate End Date].[Display Calendar Year-Month].&amp;[2016-06]" c="2016-06"/>
        <s v="[Dim Fixed Rate End Date].[Display Calendar Year-Month].&amp;[2016-07]" c="2016-07"/>
        <s v="[Dim Fixed Rate End Date].[Display Calendar Year-Month].&amp;[2016-08]" c="2016-08"/>
        <s v="[Dim Fixed Rate End Date].[Display Calendar Year-Month].&amp;[2016-09]" c="2016-09"/>
        <s v="[Dim Fixed Rate End Date].[Display Calendar Year-Month].&amp;[2016-10]" c="2016-10"/>
        <s v="[Dim Fixed Rate End Date].[Display Calendar Year-Month].&amp;[2016-11]" c="2016-11"/>
        <s v="[Dim Fixed Rate End Date].[Display Calendar Year-Month].&amp;[2016-12]" c="2016-12"/>
        <s v="[Dim Fixed Rate End Date].[Display Calendar Year-Month].&amp;[2017-01]" c="2017-01"/>
        <s v="[Dim Fixed Rate End Date].[Display Calendar Year-Month].&amp;[2017-02]" c="2017-02"/>
        <s v="[Dim Fixed Rate End Date].[Display Calendar Year-Month].&amp;[2017-03]" c="2017-03"/>
        <s v="[Dim Fixed Rate End Date].[Display Calendar Year-Month].&amp;[2017-04]" c="2017-04"/>
        <s v="[Dim Fixed Rate End Date].[Display Calendar Year-Month].&amp;[2017-05]" c="2017-05"/>
        <s v="[Dim Fixed Rate End Date].[Display Calendar Year-Month].&amp;[2017-06]" c="2017-06"/>
        <s v="[Dim Fixed Rate End Date].[Display Calendar Year-Month].&amp;[2017-07]" c="2017-07"/>
      </sharedItems>
    </cacheField>
    <cacheField name="[Dimension Loan].[Interest Rate Type Desc].[Interest Rate Type Desc]" caption="Interest Rate Type Desc" numFmtId="0" hierarchy="5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6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2" unbalanced="0">
      <fieldsUsage count="2">
        <fieldUsage x="-1"/>
        <fieldUsage x="0"/>
      </fieldsUsage>
    </cacheHierarchy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2" unbalanced="0">
      <fieldsUsage count="2">
        <fieldUsage x="-1"/>
        <fieldUsage x="14"/>
      </fieldsUsage>
    </cacheHierarchy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5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571643518" backgroundQuery="1" createdVersion="4" refreshedVersion="4" minRefreshableVersion="3" recordCount="0" supportSubquery="1" supportAdvancedDrill="1">
  <cacheSource type="external" connectionId="1"/>
  <cacheFields count="15">
    <cacheField name="[Dimension Pool].[Dim Reporting Date ID].[Dim Reporting Date ID]" caption="Dim Reporting Date ID" numFmtId="0" hierarchy="98" level="1">
      <sharedItems containsSemiMixedTypes="0" containsString="0"/>
    </cacheField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Remaining Term To Maturity].[Distributions Desc].[Distributions Desc]" caption="Distributions Desc" numFmtId="0" hierarchy="103" level="1" mappingCount="1">
      <sharedItems count="10">
        <s v="[Dimension Remaining Term To Maturity].[Distributions Desc].&amp;[0 &gt; and &lt;= 5 yrs]" c="0 &gt; and &lt;= 5 yrs" cp="1">
          <x/>
        </s>
        <s v="[Dimension Remaining Term To Maturity].[Distributions Desc].&amp;[5 &gt; and &lt;= 10 yrs]" c="5 &gt; and &lt;= 10 yrs" cp="1">
          <x v="1"/>
        </s>
        <s v="[Dimension Remaining Term To Maturity].[Distributions Desc].&amp;[10 &gt; and &lt;= 15 yrs]" c="10 &gt; and &lt;= 15 yrs" cp="1">
          <x v="2"/>
        </s>
        <s v="[Dimension Remaining Term To Maturity].[Distributions Desc].&amp;[15 &gt; and &lt;= 20 yrs]" c="15 &gt; and &lt;= 20 yrs" cp="1">
          <x v="3"/>
        </s>
        <s v="[Dimension Remaining Term To Maturity].[Distributions Desc].&amp;[20 &gt; and &lt;= 25 yrs]" c="20 &gt; and &lt;= 25 yrs" cp="1">
          <x v="4"/>
        </s>
        <s v="[Dimension Remaining Term To Maturity].[Distributions Desc].&amp;[25 &gt; and &lt;= 26 yrs]" c="25 &gt; and &lt;= 26 yrs" cp="1">
          <x v="5"/>
        </s>
        <s v="[Dimension Remaining Term To Maturity].[Distributions Desc].&amp;[26 &gt; and &lt;= 27 yrs]" c="26 &gt; and &lt;= 27 yrs" cp="1">
          <x v="6"/>
        </s>
        <s v="[Dimension Remaining Term To Maturity].[Distributions Desc].&amp;[27 &gt; and &lt;= 28 yrs]" c="27 &gt; and &lt;= 28 yrs" cp="1">
          <x v="7"/>
        </s>
        <s v="[Dimension Remaining Term To Maturity].[Distributions Desc].&amp;[28 &gt; and &lt;= 29 yrs]" c="28 &gt; and &lt;= 29 yrs" cp="1">
          <x v="8"/>
        </s>
        <s v="[Dimension Remaining Term To Maturity].[Distributions Desc].&amp;[29 &gt; and &lt;= 30 yrs]" c="29 &gt; and &lt;= 30 yrs" cp="1">
          <x v="9"/>
        </s>
      </sharedItems>
      <mpMap v="9"/>
    </cacheField>
    <cacheField name="[Dimension Remaining Term To Maturity].[Distributions Desc].[Distributions Desc].[Sort Key]" caption="Sort Key" propertyName="Sort Key" numFmtId="0" hierarchy="103" level="1" memberPropertyField="1">
      <sharedItems containsSemiMixedTypes="0" containsString="0" containsNumber="1" containsInteger="1" minValue="2" maxValue="11" count="10">
        <n v="2"/>
        <n v="3"/>
        <n v="4"/>
        <n v="5"/>
        <n v="6"/>
        <n v="7"/>
        <n v="8"/>
        <n v="9"/>
        <n v="10"/>
        <n v="11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4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2" unbalanced="0">
      <fieldsUsage count="2">
        <fieldUsage x="-1"/>
        <fieldUsage x="8"/>
      </fieldsUsage>
    </cacheHierarchy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3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4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2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22.568041203704" backgroundQuery="1" createdVersion="3" refreshedVersion="4" minRefreshableVersion="3" recordCount="0" supportSubquery="1" supportAdvancedDrill="1">
  <cacheSource type="external" connectionId="1"/>
  <cacheFields count="37"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Trust].[Dim Trust ID].[Dim Trust ID]" caption="Dim Trust ID" numFmtId="0" hierarchy="124" level="1" mappingCount="1">
      <sharedItems count="1">
        <s v="[Dimension Trust].[Dim Trust ID].&amp;[0]" c="UNK" cp="1">
          <x/>
        </s>
      </sharedItems>
      <mpMap v="5"/>
    </cacheField>
    <cacheField name="[Dimension Trust].[Dim Trust ID].[Dim Trust ID].[Trust Name]" caption="Trust Name" propertyName="Trust Name" numFmtId="0" hierarchy="124" level="1" memberPropertyField="1">
      <sharedItems count="1">
        <s v="Unknown"/>
      </sharedItems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Measures].[Average Housing Loan Balance]" caption="Average Housing Loan Balance" numFmtId="0" hierarchy="176" level="32767"/>
    <cacheField name="[Measures].[Maximum Consolidation LTV]" caption="Maximum Consolidation LTV" numFmtId="0" hierarchy="151" level="32767"/>
    <cacheField name="[Measures].[Minimum Consolidation LTV]" caption="Minimum Consolidation LTV" numFmtId="0" hierarchy="152" level="32767"/>
    <cacheField name="[Measures].[Maximum Current Principal Balance]" caption="Maximum Current Principal Balance" numFmtId="0" hierarchy="137" level="32767"/>
    <cacheField name="[Measures].[Maximum Remaining Term]" caption="Maximum Remaining Term" numFmtId="0" hierarchy="143" level="32767"/>
    <cacheField name="[Measures].[Minimum Current Principal Balance]" caption="Minimum Current Principal Balance" numFmtId="0" hierarchy="138" level="32767"/>
    <cacheField name="[Measures].[% of Investment Propery Loan]" caption="% of Investment Propery Loan" numFmtId="0" hierarchy="183" level="32767"/>
    <cacheField name="[Measures].[% of Low Doc Loans]" caption="% of Low Doc Loans" numFmtId="0" hierarchy="184" level="32767"/>
    <cacheField name="[Measures].[Security Valuation Amt]" caption="Security Valuation Amt" numFmtId="0" hierarchy="166" level="32767"/>
    <cacheField name="[Measures].[Weighted Average Current Loan-to-Value Ratio]" caption="Weighted Average Current Loan-to-Value Ratio" numFmtId="0" hierarchy="185" level="32767"/>
    <cacheField name="[Measures].[Weighted Average Mortgage Rate]" caption="Weighted Average Mortgage Rate" numFmtId="0" hierarchy="189" level="32767"/>
    <cacheField name="[Measures].[Weighted Average Original Term to Maturity]" caption="Weighted Average Original Term to Maturity" numFmtId="0" hierarchy="195" level="32767"/>
    <cacheField name="[Measures].[Weighted Average Remaining Term to Maturity]" caption="Weighted Average Remaining Term to Maturity" numFmtId="0" hierarchy="196" level="32767"/>
    <cacheField name="[Measures].[Weighted Average Seasoning]" caption="Weighted Average Seasoning" numFmtId="0" hierarchy="188" level="32767"/>
    <cacheField name="[Measures].[Consolidation Count]" caption="Consolidation Count" numFmtId="0" hierarchy="156" level="32767"/>
    <cacheField name="[Measures].[Maximum Consolidation Limit LTV]" caption="Maximum Consolidation Limit LTV" numFmtId="0" hierarchy="158" level="32767"/>
    <cacheField name="[Measures].[Minimum Consolidation Limit LTV]" caption="Minimum Consolidation Limit LTV" numFmtId="0" hierarchy="159" level="32767"/>
    <cacheField name="[Measures].[% of Interest Only]" caption="% of Interest Only" numFmtId="0" hierarchy="190" level="32767"/>
    <cacheField name="[Measures].[% of Principal and Interest]" caption="% of Principal and Interest" numFmtId="0" hierarchy="191" level="32767"/>
    <cacheField name="[Measures].[% of loans scrubbed]" caption="% of loans scrubbed" numFmtId="0" hierarchy="192" level="32767"/>
    <cacheField name="[Measures].[% Mortgage Insured]" caption="% Mortgage Insured" numFmtId="0" hierarchy="193" level="32767"/>
    <cacheField name="[Measures].[% Owener Occupied]" caption="% Owener Occupied" numFmtId="0" hierarchy="194" level="32767"/>
    <cacheField name="[Measures].[Fixed Housing Loan Balance]" caption="Fixed Housing Loan Balance" numFmtId="0" hierarchy="221" level="32767"/>
    <cacheField name="[Measures].[Variable Housing Loan Balance]" caption="Variable Housing Loan Balance" numFmtId="0" hierarchy="222" level="32767"/>
    <cacheField name="[Consolidation LTV Pass].[LTV Pass No].[LTV Pass No]" caption="LTV Pass No" numFmtId="0" level="1">
      <sharedItems containsSemiMixedTypes="0" containsString="0"/>
    </cacheField>
    <cacheField name="[Measures].[Capped Housing Loan Balance]" caption="Capped Housing Loan Balance" numFmtId="0" hierarchy="173" level="32767"/>
    <cacheField name="[Measures].[Weighted Average Current Limit Loan-to-Value Ratio]" caption="Weighted Average Current Limit Loan-to-Value Ratio" numFmtId="0" hierarchy="186" level="32767"/>
    <cacheField name="[Measures].[% of Guaranteed Loans Security Type 03]" caption="% of Guaranteed Loans Security Type 03" numFmtId="0" hierarchy="172" level="32767"/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3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6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4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7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8"/>
      </fieldsUsage>
    </cacheHierarchy>
    <cacheHierarchy uniqueName="[Measures].[Maximum Current Principal Balance]" caption="Maximum Current Principal Balance" measure="1" displayFolder="" measureGroup="Fact Loan" count="0" oneField="1">
      <fieldsUsage count="1">
        <fieldUsage x="12"/>
      </fieldsUsage>
    </cacheHierarchy>
    <cacheHierarchy uniqueName="[Measures].[Minimum Current Principal Balance]" caption="Minimum Current Principal Balance" measure="1" displayFolder="" measureGroup="Fact Loan" count="0" oneField="1">
      <fieldsUsage count="1">
        <fieldUsage x="14"/>
      </fieldsUsage>
    </cacheHierarchy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 oneField="1">
      <fieldsUsage count="1">
        <fieldUsage x="13"/>
      </fieldsUsage>
    </cacheHierarchy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 oneField="1">
      <fieldsUsage count="1">
        <fieldUsage x="10"/>
      </fieldsUsage>
    </cacheHierarchy>
    <cacheHierarchy uniqueName="[Measures].[Minimum Consolidation LTV]" caption="Minimum Consolidation LTV" measure="1" displayFolder="" measureGroup="Fact Consolidation" count="0" oneField="1">
      <fieldsUsage count="1">
        <fieldUsage x="11"/>
      </fieldsUsage>
    </cacheHierarchy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 oneField="1">
      <fieldsUsage count="1">
        <fieldUsage x="23"/>
      </fieldsUsage>
    </cacheHierarchy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 oneField="1">
      <fieldsUsage count="1">
        <fieldUsage x="24"/>
      </fieldsUsage>
    </cacheHierarchy>
    <cacheHierarchy uniqueName="[Measures].[Minimum Consolidation Limit LTV]" caption="Minimum Consolidation Limit LTV" measure="1" displayFolder="" measureGroup="Fact Consolidation" count="0" oneField="1">
      <fieldsUsage count="1">
        <fieldUsage x="25"/>
      </fieldsUsage>
    </cacheHierarchy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 oneField="1">
      <fieldsUsage count="1">
        <fieldUsage x="17"/>
      </fieldsUsage>
    </cacheHierarchy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 oneField="1">
      <fieldsUsage count="1">
        <fieldUsage x="36"/>
      </fieldsUsage>
    </cacheHierarchy>
    <cacheHierarchy uniqueName="[Measures].[Capped Housing Loan Balance]" caption="Capped Housing Loan Balance" measure="1" displayFolder="" measureGroup="Fact Loan" count="0" oneField="1">
      <fieldsUsage count="1">
        <fieldUsage x="34"/>
      </fieldsUsage>
    </cacheHierarchy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 oneField="1">
      <fieldsUsage count="1">
        <fieldUsage x="9"/>
      </fieldsUsage>
    </cacheHierarchy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 oneField="1">
      <fieldsUsage count="1">
        <fieldUsage x="15"/>
      </fieldsUsage>
    </cacheHierarchy>
    <cacheHierarchy uniqueName="[Measures].[% of Low Doc Loans]" caption="% of Low Doc Loans" measure="1" displayFolder="" measureGroup="Fact Loan" count="0" oneField="1">
      <fieldsUsage count="1">
        <fieldUsage x="16"/>
      </fieldsUsage>
    </cacheHierarchy>
    <cacheHierarchy uniqueName="[Measures].[Weighted Average Current Loan-to-Value Ratio]" caption="Weighted Average Current Loan-to-Value Ratio" measure="1" displayFolder="" measureGroup="Fact Consolidation" count="0" oneField="1">
      <fieldsUsage count="1">
        <fieldUsage x="18"/>
      </fieldsUsage>
    </cacheHierarchy>
    <cacheHierarchy uniqueName="[Measures].[Weighted Average Current Limit Loan-to-Value Ratio]" caption="Weighted Average Current Limit Loan-to-Value Ratio" measure="1" displayFolder="" measureGroup="Fact Consolidation" count="0" oneField="1">
      <fieldsUsage count="1">
        <fieldUsage x="35"/>
      </fieldsUsage>
    </cacheHierarchy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 oneField="1">
      <fieldsUsage count="1">
        <fieldUsage x="22"/>
      </fieldsUsage>
    </cacheHierarchy>
    <cacheHierarchy uniqueName="[Measures].[Weighted Average Mortgage Rate]" caption="Weighted Average Mortgage Rate" measure="1" displayFolder="" measureGroup="Fact Loan" count="0" oneField="1">
      <fieldsUsage count="1">
        <fieldUsage x="19"/>
      </fieldsUsage>
    </cacheHierarchy>
    <cacheHierarchy uniqueName="[Measures].[% of Interest Only]" caption="% of Interest Only" measure="1" displayFolder="" measureGroup="Fact Loan" count="0" oneField="1">
      <fieldsUsage count="1">
        <fieldUsage x="26"/>
      </fieldsUsage>
    </cacheHierarchy>
    <cacheHierarchy uniqueName="[Measures].[% of Principal and Interest]" caption="% of Principal and Interest" measure="1" displayFolder="" measureGroup="Fact Loan" count="0" oneField="1">
      <fieldsUsage count="1">
        <fieldUsage x="27"/>
      </fieldsUsage>
    </cacheHierarchy>
    <cacheHierarchy uniqueName="[Measures].[% of loans scrubbed]" caption="% of loans scrubbed" measure="1" displayFolder="" measureGroup="Fact Loan" count="0" oneField="1">
      <fieldsUsage count="1">
        <fieldUsage x="28"/>
      </fieldsUsage>
    </cacheHierarchy>
    <cacheHierarchy uniqueName="[Measures].[% Mortgage Insured]" caption="% Mortgage Insured" measure="1" displayFolder="" measureGroup="Fact Loan" count="0" oneField="1">
      <fieldsUsage count="1">
        <fieldUsage x="29"/>
      </fieldsUsage>
    </cacheHierarchy>
    <cacheHierarchy uniqueName="[Measures].[% Owener Occupied]" caption="% Owener Occupied" measure="1" displayFolder="" measureGroup="Fact Loan" count="0" oneField="1">
      <fieldsUsage count="1">
        <fieldUsage x="30"/>
      </fieldsUsage>
    </cacheHierarchy>
    <cacheHierarchy uniqueName="[Measures].[Weighted Average Original Term to Maturity]" caption="Weighted Average Original Term to Maturity" measure="1" displayFolder="" measureGroup="Fact Loan" count="0" oneField="1">
      <fieldsUsage count="1">
        <fieldUsage x="20"/>
      </fieldsUsage>
    </cacheHierarchy>
    <cacheHierarchy uniqueName="[Measures].[Weighted Average Remaining Term to Maturity]" caption="Weighted Average Remaining Term to Maturity" measure="1" displayFolder="" measureGroup="Fact Loan" count="0" oneField="1">
      <fieldsUsage count="1">
        <fieldUsage x="21"/>
      </fieldsUsage>
    </cacheHierarchy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 oneField="1">
      <fieldsUsage count="1">
        <fieldUsage x="31"/>
      </fieldsUsage>
    </cacheHierarchy>
    <cacheHierarchy uniqueName="[Measures].[Variable Housing Loan Balance]" caption="Variable Housing Loan Balance" measure="1" displayFolder="" measureGroup="Fact Loan" count="0" oneField="1">
      <fieldsUsage count="1">
        <fieldUsage x="32"/>
      </fieldsUsage>
    </cacheHierarchy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68287036" backgroundQuery="1" createdVersion="3" refreshedVersion="4" minRefreshableVersion="3" recordCount="0" supportSubquery="1" supportAdvancedDrill="1">
  <cacheSource type="external" connectionId="1"/>
  <cacheFields count="16"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Organisation Code]" caption="Organisation Code" propertyName="Organisation Code" numFmtId="0" hierarchy="124" level="1" memberPropertyField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Dim Fixed Rate End Date].[Display Calendar Year].[Display Calendar Year]" caption="Display Calendar Year" numFmtId="0" hierarchy="5" level="1">
      <sharedItems count="6">
        <s v="[Dim Fixed Rate End Date].[Display Calendar Year].&amp;[2012]" c="2012"/>
        <s v="[Dim Fixed Rate End Date].[Display Calendar Year].&amp;[2013]" c="2013"/>
        <s v="[Dim Fixed Rate End Date].[Display Calendar Year].&amp;[2014]" c="2014"/>
        <s v="[Dim Fixed Rate End Date].[Display Calendar Year].&amp;[2015]" c="2015"/>
        <s v="[Dim Fixed Rate End Date].[Display Calendar Year].&amp;[2016]" c="2016"/>
        <s v="[Dim Fixed Rate End Date].[Display Calendar Year].&amp;[2017]" c="2017"/>
      </sharedItems>
    </cacheField>
    <cacheField name="[Dimension Loan].[Interest Rate Type Desc].[Interest Rate Type Desc]" caption="Interest Rate Type Desc" numFmtId="0" hierarchy="5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2" unbalanced="0">
      <fieldsUsage count="2">
        <fieldUsage x="-1"/>
        <fieldUsage x="13"/>
      </fieldsUsage>
    </cacheHierarchy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4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8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6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7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76736111" backgroundQuery="1" createdVersion="3" refreshedVersion="4" minRefreshableVersion="3" recordCount="0" supportSubquery="1" supportAdvancedDrill="1">
  <cacheSource type="external" connectionId="1"/>
  <cacheFields count="15">
    <cacheField name="[Dimension Loan].[Interest Rate Type Desc].[Interest Rate Type Desc]" caption="Interest Rate Type Desc" numFmtId="0" hierarchy="59" level="1">
      <sharedItems count="2">
        <s v="[Dimension Loan].[Interest Rate Type Desc].&amp;[FIXED]" c="FIXED"/>
        <s v="[Dimension Loan].[Interest Rate Type Desc].&amp;[VARIABLE]" c="VARIABLE"/>
      </sharedItems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Organisation Code]" caption="Organisation Code" propertyName="Organisation Code" numFmtId="0" hierarchy="124" level="1" memberPropertyField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0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84375" backgroundQuery="1" createdVersion="3" refreshedVersion="4" minRefreshableVersion="3" recordCount="0" supportSubquery="1" supportAdvancedDrill="1">
  <cacheSource type="external" connectionId="1"/>
  <cacheFields count="7">
    <cacheField name="[Dimension Pool].[DimPoolID].[DimPoolID]" caption="DimPoolID" numFmtId="0" hierarchy="100" level="1" mappingCount="3">
      <sharedItems count="1">
        <s v="[Dimension Pool].[DimPoolID].&amp;[1973]" c="1973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100" level="1" memberPropertyField="1">
      <sharedItems count="1">
        <s v="Data Source=DAL_SEC;Initial Catalog=Job_2_20120731_1973;Integrated Security=SSPI;"/>
      </sharedItems>
    </cacheField>
    <cacheField name="[Dimension Function].[Report ID].[Report ID]" caption="Report ID" numFmtId="0" hierarchy="50" level="1">
      <sharedItems count="12">
        <s v="[Dimension Function].[Report ID].&amp;[12]" c="Closed Loan Report"/>
        <s v="[Dimension Function].[Report ID].&amp;[1]" c="Consolidation Loan Security Details Report"/>
        <s v="[Dimension Function].[Report ID].&amp;[3]" c="Consolidation Security Loan Details Report"/>
        <s v="[Dimension Function].[Report ID].&amp;[11]" c="Failed Loan Summary Report"/>
        <s v="[Dimension Function].[Report ID].&amp;[13]" c="Include/Exclude Loan Summary Report"/>
        <s v="[Dimension Function].[Report ID].&amp;[6]" c="Loan AuditCode Report"/>
        <s v="[Dimension Function].[Report ID].&amp;[7]" c="Loan Customer Report"/>
        <s v="[Dimension Function].[Report ID].&amp;[5]" c="Loan with failed Securities Report"/>
        <s v="[Dimension Function].[Report ID].&amp;[14]" c="PoolCut Sale Date Report"/>
        <s v="[Dimension Function].[Report ID].&amp;[8]" c="Rating Agency Report"/>
        <s v="[Dimension Function].[Report ID].&amp;[9]" c="Rating Agency Supplementary Loan Report"/>
        <s v="[Dimension Function].[Report ID].&amp;[10]" c="Rating Agency Supplementary Security Report"/>
      </sharedItems>
    </cacheField>
    <cacheField name="[Measures].[Fact Report Count]" caption="Fact Report Count" numFmtId="0" hierarchy="165" level="32767"/>
    <cacheField name="[Consolidation LTV Pass].[LTV Pass No].[LTV Pass No]" caption="LTV Pass No" numFmtId="0" level="1">
      <sharedItems count="1">
        <s v="[Consolidation LTV Pass].[LTV Pass No].&amp;[ECPass3]" c="ECPass3"/>
      </sharedItems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6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2" unbalanced="0">
      <fieldsUsage count="2">
        <fieldUsage x="-1"/>
        <fieldUsage x="4"/>
      </fieldsUsage>
    </cacheHierarchy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0" unbalanced="0"/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 oneField="1">
      <fieldsUsage count="1">
        <fieldUsage x="5"/>
      </fieldsUsage>
    </cacheHierarchy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saveData="0" refreshedBy="TFS_L049686" refreshedDate="41430.477578240738" backgroundQuery="1" createdVersion="4" refreshedVersion="4" minRefreshableVersion="3" recordCount="0" supportSubquery="1" supportAdvancedDrill="1">
  <cacheSource type="external" connectionId="1"/>
  <cacheFields count="16">
    <cacheField name="[Dimension Pool].[Dim Reporting Date ID].[Dim Reporting Date ID]" caption="Dim Reporting Date ID" numFmtId="0" hierarchy="99" level="1">
      <sharedItems containsSemiMixedTypes="0" containsString="0"/>
    </cacheField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  <cacheField name="[Dimension Fixed Rate Expiry Term Distribution].[Distributions Desc].[Distributions Desc]" caption="Distributions Desc" numFmtId="0" hierarchy="45" level="1" mappingCount="1">
      <sharedItems count="8">
        <s v="[Dimension Fixed Rate Expiry Term Distribution].[Distributions Desc].&amp;[&lt;= 3 Mths]" c="&lt;= 3 Mths" cp="1">
          <x/>
        </s>
        <s v="[Dimension Fixed Rate Expiry Term Distribution].[Distributions Desc].&amp;[&gt; 3 and &lt;= 6 Mths]" c="&gt; 3 and &lt;= 6 Mths" cp="1">
          <x v="1"/>
        </s>
        <s v="[Dimension Fixed Rate Expiry Term Distribution].[Distributions Desc].&amp;[&gt; 6 and &lt;= 12 Mths]" c="&gt; 6 and &lt;= 12 Mths" cp="1">
          <x v="2"/>
        </s>
        <s v="[Dimension Fixed Rate Expiry Term Distribution].[Distributions Desc].&amp;[&gt; 12 and &lt;= 18 Mths]" c="&gt; 12 and &lt;= 18 Mths" cp="1">
          <x v="3"/>
        </s>
        <s v="[Dimension Fixed Rate Expiry Term Distribution].[Distributions Desc].&amp;[&gt; 18 and &lt;= 24 Mths]" c="&gt; 18 and &lt;= 24 Mths" cp="1">
          <x v="4"/>
        </s>
        <s v="[Dimension Fixed Rate Expiry Term Distribution].[Distributions Desc].&amp;[&gt; 2 and &lt;= 3 yrs]" c="&gt; 2 and &lt;= 3 yrs" cp="1">
          <x v="5"/>
        </s>
        <s v="[Dimension Fixed Rate Expiry Term Distribution].[Distributions Desc].&amp;[&gt; 3 and &lt;= 4 yrs]" c="&gt; 3 and &lt;= 4 yrs" cp="1">
          <x v="6"/>
        </s>
        <s v="[Dimension Fixed Rate Expiry Term Distribution].[Distributions Desc].&amp;[&gt; 4 and &lt;= 5 yrs]" c="&gt; 4 and &lt;= 5 yrs" cp="1">
          <x v="7"/>
        </s>
      </sharedItems>
      <mpMap v="9"/>
    </cacheField>
    <cacheField name="[Dimension Fixed Rate Expiry Term Distribution].[Distributions Desc].[Distributions Desc].[Sort Key]" caption="Sort Key" propertyName="Sort Key" numFmtId="0" hierarchy="45" level="1" memberPropertyField="1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Loan].[Interest Rate Type Desc].[Interest Rate Type Desc]" caption="Interest Rate Type Desc" numFmtId="0" hierarchy="59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2" unbalanced="0">
      <fieldsUsage count="2">
        <fieldUsage x="-1"/>
        <fieldUsage x="8"/>
      </fieldsUsage>
    </cacheHierarchy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5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5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3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4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2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saveData="0" refreshedBy="TFS_L049686" refreshedDate="41430.477580324077" backgroundQuery="1" createdVersion="4" refreshedVersion="4" minRefreshableVersion="3" recordCount="0" supportSubquery="1" supportAdvancedDrill="1">
  <cacheSource type="external" connectionId="1"/>
  <cacheFields count="8"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3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pivotTable1.xml><?xml version="1.0" encoding="utf-8"?>
<pivotTableDefinition xmlns="http://schemas.openxmlformats.org/spreadsheetml/2006/main" name="ptFilter" cacheId="31" applyNumberFormats="0" applyBorderFormats="0" applyFontFormats="0" applyPatternFormats="0" applyAlignmentFormats="0" applyWidthHeightFormats="1" dataCaption="Values" updatedVersion="4" minRefreshableVersion="3" itemPrintTitles="1" createdVersion="4" indent="0" outline="1" outlineData="1" multipleFieldFilters="0" fieldListSortAscending="1">
  <location ref="A7" firstHeaderRow="0" firstDataRow="0" firstDataCol="0" rowPageCount="4" colPageCount="1"/>
  <pivotFields count="8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pageFields count="4">
    <pageField fld="0" hier="124" name="[Dimension Trust].[Dim Trust ID].&amp;[0]" cap="UNK"/>
    <pageField fld="2" hier="99" name="[Dimension Pool].[Dim Reporting Date ID].&amp;[20120731]" cap="20120731"/>
    <pageField fld="3" hier="100" name="[Dimension Pool].[DimPoolID].[All]" cap="All"/>
    <pageField fld="7" hier="0" name="[Consolidation LTV Pass].[LTV Pass No].&amp;[ECPass3]" cap="ECPass3"/>
  </pageFields>
  <formats count="8">
    <format dxfId="626">
      <pivotArea field="0" type="button" dataOnly="0" labelOnly="1" outline="0" axis="axisPage" fieldPosition="0"/>
    </format>
    <format dxfId="625">
      <pivotArea field="2" type="button" dataOnly="0" labelOnly="1" outline="0" axis="axisPage" fieldPosition="1"/>
    </format>
    <format dxfId="624">
      <pivotArea field="3" type="button" dataOnly="0" labelOnly="1" outline="0" axis="axisPage" fieldPosition="2"/>
    </format>
    <format dxfId="623">
      <pivotArea field="0" type="button" dataOnly="0" labelOnly="1" outline="0" axis="axisPage" fieldPosition="0"/>
    </format>
    <format dxfId="622">
      <pivotArea field="2" type="button" dataOnly="0" labelOnly="1" outline="0" axis="axisPage" fieldPosition="1"/>
    </format>
    <format dxfId="621">
      <pivotArea field="3" type="button" dataOnly="0" labelOnly="1" outline="0" axis="axisPage" fieldPosition="2"/>
    </format>
    <format dxfId="620">
      <pivotArea field="7" type="button" dataOnly="0" labelOnly="1" outline="0" axis="axisPage" fieldPosition="3"/>
    </format>
    <format dxfId="619">
      <pivotArea field="7" type="button" dataOnly="0" labelOnly="1" outline="0" axis="axisPage" fieldPosition="3"/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Select Reporting Date"/>
    <pivotHierarchy caption="Select Pool">
      <mps count="3">
        <mp field="4"/>
        <mp field="5"/>
        <mp field="6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Select 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2.xml><?xml version="1.0" encoding="utf-8"?>
<pivotTableDefinition xmlns="http://schemas.openxmlformats.org/spreadsheetml/2006/main" name="ptPULBTSummary" cacheId="11" dataOnRows="1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compact="0" compactData="0" gridDropZones="1" multipleFieldFilters="0" rowHeaderCaption="Consolidation Trust ID" colHeaderCaption="Trust ID" fieldListSortAscending="1">
  <location ref="A43:C48" firstHeaderRow="1" firstDataRow="2" firstDataCol="2" rowPageCount="3" colPageCount="1"/>
  <pivotFields count="14"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name="Consolidation Trust ID" axis="axisRow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name="Trust ID" axis="axisCol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</pivotFields>
  <rowFields count="2">
    <field x="6"/>
    <field x="-2"/>
  </rowFields>
  <rowItems count="4">
    <i>
      <x/>
      <x/>
    </i>
    <i r="1" i="1">
      <x v="1"/>
    </i>
    <i r="1" i="2">
      <x v="2"/>
    </i>
    <i r="1" i="3">
      <x v="3"/>
    </i>
  </rowItems>
  <colFields count="1">
    <field x="8"/>
  </colFields>
  <colItems count="1">
    <i>
      <x/>
    </i>
  </colItems>
  <pageFields count="3">
    <pageField fld="0" hier="98" name="[Dimension Pool].[Dim Reporting Date ID].&amp;[20120731]" cap="20120731"/>
    <pageField fld="1" hier="99" name="[Dimension Pool].[DimPoolID].[All]" cap="All"/>
    <pageField fld="12" hier="0" name="[Consolidation LTV Pass].[LTV Pass No].&amp;[ECPass3]" cap="ECPass3"/>
  </pageFields>
  <dataFields count="4">
    <dataField name="Number of Housing Loans" fld="5" baseField="0" baseItem="0"/>
    <dataField name="Number of Post Consolidation ID Groups" fld="10" baseField="0" baseItem="0"/>
    <dataField name="Housing Loan Pool Size ($A)" fld="11" baseField="6" baseItem="0" numFmtId="4"/>
    <dataField name="Consolidation Valuation $" fld="13" baseField="6" baseItem="0" numFmtId="4"/>
  </dataFields>
  <formats count="14">
    <format dxfId="573">
      <pivotArea field="0" type="button" dataOnly="0" labelOnly="1" outline="0" axis="axisPage" fieldPosition="0"/>
    </format>
    <format dxfId="572">
      <pivotArea field="1" type="button" dataOnly="0" labelOnly="1" outline="0" axis="axisPage" fieldPosition="1"/>
    </format>
    <format dxfId="571">
      <pivotArea type="all" dataOnly="0" outline="0" fieldPosition="0"/>
    </format>
    <format dxfId="570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6" count="0" selected="0"/>
        </references>
      </pivotArea>
    </format>
    <format dxfId="569">
      <pivotArea outline="0" collapsedLevelsAreSubtotals="1" fieldPosition="0">
        <references count="2">
          <reference field="4294967294" count="1" selected="0">
            <x v="2"/>
          </reference>
          <reference field="6" count="0" selected="0"/>
        </references>
      </pivotArea>
    </format>
    <format dxfId="568">
      <pivotArea outline="0" collapsedLevelsAreSubtotals="1" fieldPosition="0">
        <references count="2">
          <reference field="4294967294" count="2" selected="0">
            <x v="0"/>
            <x v="1"/>
          </reference>
          <reference field="6" count="0" selected="0"/>
        </references>
      </pivotArea>
    </format>
    <format dxfId="567">
      <pivotArea dataOnly="0" labelOnly="1" outline="0" fieldPosition="0">
        <references count="1">
          <reference field="8" count="0"/>
        </references>
      </pivotArea>
    </format>
    <format dxfId="566">
      <pivotArea field="-2" type="button" dataOnly="0" labelOnly="1" outline="0" axis="axisRow" fieldPosition="1"/>
    </format>
    <format dxfId="565">
      <pivotArea field="12" type="button" dataOnly="0" labelOnly="1" outline="0" axis="axisPage" fieldPosition="2"/>
    </format>
    <format dxfId="564">
      <pivotArea field="12" type="button" dataOnly="0" labelOnly="1" outline="0" axis="axisPage" fieldPosition="2"/>
    </format>
    <format dxfId="563">
      <pivotArea dataOnly="0" labelOnly="1" outline="0" fieldPosition="0">
        <references count="2">
          <reference field="4294967294" count="1">
            <x v="3"/>
          </reference>
          <reference field="6" count="0" selected="0"/>
        </references>
      </pivotArea>
    </format>
    <format dxfId="562">
      <pivotArea outline="0" collapsedLevelsAreSubtotals="1" fieldPosition="0">
        <references count="2">
          <reference field="4294967294" count="1" selected="0">
            <x v="3"/>
          </reference>
          <reference field="6" count="0" selected="0"/>
        </references>
      </pivotArea>
    </format>
    <format dxfId="561">
      <pivotArea outline="0" fieldPosition="0">
        <references count="1">
          <reference field="4294967294" count="1">
            <x v="2"/>
          </reference>
        </references>
      </pivotArea>
    </format>
    <format dxfId="560">
      <pivotArea outline="0" fieldPosition="0">
        <references count="1">
          <reference field="4294967294" count="1">
            <x v="3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7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Pool Statistic Summary As At"/>
    <pivotHierarchy>
      <mps count="3">
        <mp field="2"/>
        <mp field="3"/>
        <mp field="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umber of Housing Loans"/>
    <pivotHierarchy dragToRow="0" dragToCol="0" dragToPage="0" dragToData="1" caption="Housing Loan Pool Size ($A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onsolidation Valuation $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Number of Post Consolidation ID Group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1"/>
    <rowHierarchyUsage hierarchyUsage="-2"/>
  </rowHierarchiesUsage>
  <colHierarchiesUsage count="1">
    <colHierarchyUsage hierarchyUsage="12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3.xml><?xml version="1.0" encoding="utf-8"?>
<pivotTableDefinition xmlns="http://schemas.openxmlformats.org/spreadsheetml/2006/main" name="ptSummary" cacheId="26" dataOnRows="1" applyNumberFormats="0" applyBorderFormats="0" applyFontFormats="0" applyPatternFormats="0" applyAlignmentFormats="0" applyWidthHeightFormats="1" dataCaption="Values" grandTotalCaption="Combined" missingCaption="$0.00" updatedVersion="4" minRefreshableVersion="3" showCalcMbrs="0" subtotalHiddenItems="1" rowGrandTotals="0" itemPrintTitles="1" createdVersion="3" indent="0" compact="0" compactData="0" gridDropZones="1" multipleFieldFilters="0" fieldListSortAscending="1">
  <location ref="A5:C35" firstHeaderRow="1" firstDataRow="2" firstDataCol="1" rowPageCount="3" colPageCount="1"/>
  <pivotFields count="37">
    <pivotField axis="axisPage" compact="0" allDrilled="1" outline="0" showAll="0" dataSourceSort="1" defaultSubtotal="0" defaultAttributeDrillState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name="Trust ID" axis="axisCol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  <pivotField dataField="1" compact="0" outline="0" showAll="0"/>
    <pivotField dataField="1" compact="0" outline="0" showAll="0"/>
  </pivotFields>
  <rowFields count="1">
    <field x="-2"/>
  </rowFields>
  <rowItems count="2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</rowItems>
  <colFields count="1">
    <field x="4"/>
  </colFields>
  <colItems count="2">
    <i>
      <x/>
    </i>
    <i t="grand">
      <x/>
    </i>
  </colItems>
  <pageFields count="3">
    <pageField fld="6" hier="99" name="[Dimension Pool].[Dim Reporting Date ID].&amp;[20120731]" cap="20120731"/>
    <pageField fld="0" hier="100" name="[Dimension Pool].[DimPoolID].[All]" cap="All"/>
    <pageField fld="33" hier="0" name="[Consolidation LTV Pass].[LTV Pass No].&amp;[ECPass3]" cap="ECPass3"/>
  </pageFields>
  <dataFields count="29">
    <dataField name="Number of Housing Loans" fld="7" baseField="0" baseItem="0" numFmtId="3"/>
    <dataField name="Number of Post Consolidation ID Groups" fld="23" baseField="0" baseItem="0"/>
    <dataField name="Housing Loan Pool Size ($)" fld="8" baseField="4" baseItem="0" numFmtId="4"/>
    <dataField name="Average Housing Loan Balance ($)" fld="9" baseField="4" baseItem="0" numFmtId="4"/>
    <dataField name="Maximum Housing Loan Balance ($)" fld="12" baseField="4" baseItem="0" numFmtId="4"/>
    <dataField name="Minimum Housing Loan Balance ($)" fld="14" baseField="4" baseItem="0" numFmtId="4"/>
    <dataField name="Total Valuation of the Properties ($)" fld="17" baseField="4" baseItem="0" numFmtId="4"/>
    <dataField name="Weighted Average Current Balance Loan-to-Value Ratio (%)" fld="18" baseField="4" baseItem="0" numFmtId="165"/>
    <dataField name="Weighted Average Current Limit Loan-to-Value Ratio (%)" fld="35" baseField="4" baseItem="0" numFmtId="165"/>
    <dataField name="Highest Consolidated Current Balance LVR (%)" fld="10" baseField="4" baseItem="0" numFmtId="165"/>
    <dataField name="Lowest Consolidated CurrentBalance LVR (%)" fld="11" baseField="4" baseItem="0" numFmtId="165"/>
    <dataField name="Highest Consolidated Current Limit LVR (%)" fld="24" baseField="4" baseItem="0" numFmtId="165"/>
    <dataField name="Lowest Consolidated Current Limit LVR (%)" fld="25" baseField="4" baseItem="0" numFmtId="165"/>
    <dataField name="Weighted Average Seasoning (Months)" fld="22" baseField="0" baseItem="0" numFmtId="4"/>
    <dataField name="Weighted Average Remaining Term to Maturity (Months)" fld="21" baseField="0" baseItem="0" numFmtId="4"/>
    <dataField name="Maximum Current Remaining Term to Maturity (Months)" fld="13" baseField="0" baseItem="0" numFmtId="4"/>
    <dataField name="Weighted Average Original Term to Maturity (Months)" fld="20" baseField="0" baseItem="0" numFmtId="4"/>
    <dataField fld="26" baseField="4" baseItem="0" numFmtId="165"/>
    <dataField fld="27" baseField="4" baseItem="0" numFmtId="165"/>
    <dataField name="% of Investment Property Loans" fld="15" baseField="4" baseItem="0" numFmtId="165"/>
    <dataField name="% of Low Doc Loans" fld="16" baseField="4" baseItem="0" numFmtId="165"/>
    <dataField name="Weighted Average Mortgage Rate (%)" fld="19" baseField="4" baseItem="0" numFmtId="165"/>
    <dataField fld="28" baseField="4" baseItem="0" numFmtId="165"/>
    <dataField fld="29" baseField="4" baseItem="0" numFmtId="165"/>
    <dataField name="% Owner Occupied" fld="30" baseField="4" baseItem="0" numFmtId="165"/>
    <dataField name="Fixed Housing Loan Balance $" fld="31" baseField="4" baseItem="0" numFmtId="4"/>
    <dataField name="Variable Housing Loan Balance $" fld="32" baseField="4" baseItem="0" numFmtId="4"/>
    <dataField name="Capped Housing Loan Balance $" fld="34" baseField="4" baseItem="0" numFmtId="4"/>
    <dataField fld="36" baseField="0" baseItem="0" numFmtId="166"/>
  </dataFields>
  <formats count="45">
    <format dxfId="6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1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16">
      <pivotArea outline="0" collapsedLevelsAreSubtotals="1" fieldPosition="0">
        <references count="1">
          <reference field="4294967294" count="1" selected="0">
            <x v="15"/>
          </reference>
        </references>
      </pivotArea>
    </format>
    <format dxfId="615">
      <pivotArea outline="0" collapsedLevelsAreSubtotals="1" fieldPosition="0">
        <references count="1">
          <reference field="4294967294" count="1" selected="0">
            <x v="16"/>
          </reference>
        </references>
      </pivotArea>
    </format>
    <format dxfId="614">
      <pivotArea outline="0" collapsedLevelsAreSubtotals="1" fieldPosition="0">
        <references count="1">
          <reference field="4294967294" count="1" selected="0">
            <x v="14"/>
          </reference>
        </references>
      </pivotArea>
    </format>
    <format dxfId="613">
      <pivotArea outline="0" collapsedLevelsAreSubtotals="1" fieldPosition="0">
        <references count="1">
          <reference field="4294967294" count="1" selected="0">
            <x v="13"/>
          </reference>
        </references>
      </pivotArea>
    </format>
    <format dxfId="612">
      <pivotArea outline="0" collapsedLevelsAreSubtotals="1" fieldPosition="0"/>
    </format>
    <format dxfId="611">
      <pivotArea field="4" type="button" dataOnly="0" labelOnly="1" outline="0" axis="axisCol" fieldPosition="0"/>
    </format>
    <format dxfId="610">
      <pivotArea field="6" type="button" dataOnly="0" labelOnly="1" outline="0" axis="axisPage" fieldPosition="0"/>
    </format>
    <format dxfId="609">
      <pivotArea dataOnly="0" labelOnly="1" outline="0" fieldPosition="0">
        <references count="1">
          <reference field="6" count="0"/>
        </references>
      </pivotArea>
    </format>
    <format dxfId="608">
      <pivotArea field="6" type="button" dataOnly="0" labelOnly="1" outline="0" axis="axisPage" fieldPosition="0"/>
    </format>
    <format dxfId="607">
      <pivotArea field="0" type="button" dataOnly="0" labelOnly="1" outline="0" axis="axisPage" fieldPosition="1"/>
    </format>
    <format dxfId="606">
      <pivotArea type="all" dataOnly="0" outline="0" fieldPosition="0"/>
    </format>
    <format dxfId="605">
      <pivotArea dataOnly="0" labelOnly="1" outline="0" fieldPosition="0">
        <references count="1">
          <reference field="4294967294" count="16">
            <x v="0"/>
            <x v="2"/>
            <x v="3"/>
            <x v="4"/>
            <x v="5"/>
            <x v="6"/>
            <x v="7"/>
            <x v="9"/>
            <x v="10"/>
            <x v="13"/>
            <x v="14"/>
            <x v="15"/>
            <x v="16"/>
            <x v="19"/>
            <x v="20"/>
            <x v="21"/>
          </reference>
        </references>
      </pivotArea>
    </format>
    <format dxfId="604">
      <pivotArea dataOnly="0" labelOnly="1" outline="0" fieldPosition="0">
        <references count="1">
          <reference field="4" count="0"/>
        </references>
      </pivotArea>
    </format>
    <format dxfId="603">
      <pivotArea dataOnly="0" labelOnly="1" grandCol="1" outline="0" fieldPosition="0"/>
    </format>
    <format dxfId="602">
      <pivotArea field="-2" type="button" dataOnly="0" labelOnly="1" outline="0" axis="axisRow" fieldPosition="0"/>
    </format>
    <format dxfId="60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00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599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598">
      <pivotArea dataOnly="0" labelOnly="1" outline="0" fieldPosition="0">
        <references count="1">
          <reference field="4294967294" count="2">
            <x v="17"/>
            <x v="18"/>
          </reference>
        </references>
      </pivotArea>
    </format>
    <format dxfId="597">
      <pivotArea dataOnly="0" labelOnly="1" outline="0" fieldPosition="0">
        <references count="1">
          <reference field="4294967294" count="5">
            <x v="22"/>
            <x v="23"/>
            <x v="24"/>
            <x v="25"/>
            <x v="26"/>
          </reference>
        </references>
      </pivotArea>
    </format>
    <format dxfId="596">
      <pivotArea field="4" grandCol="1" outline="0" collapsedLevelsAreSubtotals="1" axis="axisCol" fieldPosition="0">
        <references count="1">
          <reference field="4294967294" count="2" selected="0">
            <x v="11"/>
            <x v="12"/>
          </reference>
        </references>
      </pivotArea>
    </format>
    <format dxfId="595">
      <pivotArea field="4" grandCol="1" outline="0" collapsedLevelsAreSubtotals="1" axis="axisCol" fieldPosition="0">
        <references count="1">
          <reference field="4294967294" count="1" selected="0">
            <x v="1"/>
          </reference>
        </references>
      </pivotArea>
    </format>
    <format dxfId="594">
      <pivotArea outline="0" collapsedLevelsAreSubtotals="1" fieldPosition="0">
        <references count="2">
          <reference field="4294967294" count="1" selected="0">
            <x v="1"/>
          </reference>
          <reference field="4" count="0" selected="0"/>
        </references>
      </pivotArea>
    </format>
    <format dxfId="593">
      <pivotArea field="4" grandCol="1" outline="0" collapsedLevelsAreSubtotals="1" axis="axisCol" fieldPosition="0">
        <references count="1">
          <reference field="4294967294" count="1" selected="0">
            <x v="11"/>
          </reference>
        </references>
      </pivotArea>
    </format>
    <format dxfId="592">
      <pivotArea field="4" grandCol="1" outline="0" collapsedLevelsAreSubtotals="1" axis="axisCol" fieldPosition="0">
        <references count="1">
          <reference field="4294967294" count="1" selected="0">
            <x v="12"/>
          </reference>
        </references>
      </pivotArea>
    </format>
    <format dxfId="591">
      <pivotArea field="33" type="button" dataOnly="0" labelOnly="1" outline="0" axis="axisPage" fieldPosition="2"/>
    </format>
    <format dxfId="590">
      <pivotArea field="33" type="button" dataOnly="0" labelOnly="1" outline="0" axis="axisPage" fieldPosition="2"/>
    </format>
    <format dxfId="589">
      <pivotArea dataOnly="0" labelOnly="1" outline="0" fieldPosition="0">
        <references count="1">
          <reference field="4294967294" count="1">
            <x v="27"/>
          </reference>
        </references>
      </pivotArea>
    </format>
    <format dxfId="588">
      <pivotArea outline="0" collapsedLevelsAreSubtotals="1" fieldPosition="0">
        <references count="2">
          <reference field="4294967294" count="1" selected="0">
            <x v="27"/>
          </reference>
          <reference field="4" count="0" selected="0"/>
        </references>
      </pivotArea>
    </format>
    <format dxfId="587">
      <pivotArea field="4" grandCol="1" outline="0" collapsedLevelsAreSubtotals="1" axis="axisCol" fieldPosition="0">
        <references count="1">
          <reference field="4294967294" count="1" selected="0">
            <x v="27"/>
          </reference>
        </references>
      </pivotArea>
    </format>
    <format dxfId="586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585">
      <pivotArea field="4" grandCol="1" outline="0" collapsedLevelsAreSubtotals="1" axis="axisCol" fieldPosition="0">
        <references count="1">
          <reference field="4294967294" count="1" selected="0">
            <x v="8"/>
          </reference>
        </references>
      </pivotArea>
    </format>
    <format dxfId="584">
      <pivotArea outline="0" collapsedLevelsAreSubtotals="1" fieldPosition="0">
        <references count="2">
          <reference field="4294967294" count="1" selected="0">
            <x v="2"/>
          </reference>
          <reference field="4" count="0" selected="0"/>
        </references>
      </pivotArea>
    </format>
    <format dxfId="583">
      <pivotArea field="4" grandCol="1" outline="0" collapsedLevelsAreSubtotals="1" axis="axisCol" fieldPosition="0">
        <references count="1">
          <reference field="4294967294" count="1" selected="0">
            <x v="2"/>
          </reference>
        </references>
      </pivotArea>
    </format>
    <format dxfId="582">
      <pivotArea outline="0" collapsedLevelsAreSubtotals="1" fieldPosition="0">
        <references count="1">
          <reference field="4294967294" count="4" selected="0">
            <x v="3"/>
            <x v="4"/>
            <x v="5"/>
            <x v="6"/>
          </reference>
        </references>
      </pivotArea>
    </format>
    <format dxfId="581">
      <pivotArea outline="0" collapsedLevelsAreSubtotals="1" fieldPosition="0">
        <references count="1">
          <reference field="4294967294" count="8" selected="0"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580">
      <pivotArea outline="0" collapsedLevelsAreSubtotals="1" fieldPosition="0">
        <references count="1">
          <reference field="4294967294" count="6" selected="0">
            <x v="7"/>
            <x v="8"/>
            <x v="9"/>
            <x v="10"/>
            <x v="11"/>
            <x v="12"/>
          </reference>
        </references>
      </pivotArea>
    </format>
    <format dxfId="579">
      <pivotArea outline="0" collapsedLevelsAreSubtotals="1" fieldPosition="0">
        <references count="1">
          <reference field="4294967294" count="2" selected="0">
            <x v="25"/>
            <x v="26"/>
          </reference>
        </references>
      </pivotArea>
    </format>
    <format dxfId="578">
      <pivotArea outline="0" collapsedLevelsAreSubtotals="1" fieldPosition="0">
        <references count="1">
          <reference field="4294967294" count="1" selected="0">
            <x v="27"/>
          </reference>
        </references>
      </pivotArea>
    </format>
    <format dxfId="577">
      <pivotArea outline="0" fieldPosition="0">
        <references count="1">
          <reference field="4294967294" count="1">
            <x v="2"/>
          </reference>
        </references>
      </pivotArea>
    </format>
    <format dxfId="576">
      <pivotArea outline="0" collapsedLevelsAreSubtotals="1" fieldPosition="0">
        <references count="1">
          <reference field="4294967294" count="1" selected="0">
            <x v="28"/>
          </reference>
        </references>
      </pivotArea>
    </format>
    <format dxfId="575">
      <pivotArea dataOnly="0" labelOnly="1" outline="0" fieldPosition="0">
        <references count="1">
          <reference field="4294967294" count="1">
            <x v="28"/>
          </reference>
        </references>
      </pivotArea>
    </format>
    <format dxfId="574">
      <pivotArea outline="0" collapsedLevelsAreSubtotals="1" fieldPosition="0">
        <references count="1">
          <reference field="4294967294" count="1" selected="0">
            <x v="28"/>
          </reference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Pool Statistic Summary As At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 caption="Housing Loan Pool Size ($)"/>
    <pivotHierarchy dragToRow="0" dragToCol="0" dragToPage="0" dragToData="1" caption="Maximum Housing Loan Balance ($)"/>
    <pivotHierarchy dragToRow="0" dragToCol="0" dragToPage="0" dragToData="1" caption="Minimum Housing Loan Balance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Maximum Current Remaining Term to Maturity (Months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Highest Consolidated Current Balance LVR (%)"/>
    <pivotHierarchy dragToRow="0" dragToCol="0" dragToPage="0" dragToData="1" caption="Lowest Consolidated CurrentBalance LVR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Number of Post Consolidation ID Groups"/>
    <pivotHierarchy dragToRow="0" dragToCol="0" dragToPage="0" dragToData="1"/>
    <pivotHierarchy dragToRow="0" dragToCol="0" dragToPage="0" dragToData="1" caption="Highest Consolidated Current Limit LVR (%)"/>
    <pivotHierarchy dragToRow="0" dragToCol="0" dragToPage="0" dragToData="1" caption="Lowest Consolidated Current Limit LVR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Total Valuation of the Properties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apped Housing Loan Balance $"/>
    <pivotHierarchy dragToRow="0" dragToCol="0" dragToPage="0" dragToData="1"/>
    <pivotHierarchy dragToRow="0" dragToCol="0" dragToPage="0" dragToData="1"/>
    <pivotHierarchy dragToRow="0" dragToCol="0" dragToPage="0" dragToData="1" caption="Average Housing Loan Balance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% of Investment Property Loans"/>
    <pivotHierarchy dragToRow="0" dragToCol="0" dragToPage="0" dragToData="1" caption="% of Low Doc Loans"/>
    <pivotHierarchy dragToRow="0" dragToCol="0" dragToPage="0" dragToData="1" caption="Weighted Average Current Balance Loan-to-Value Ratio (%)"/>
    <pivotHierarchy dragToRow="0" dragToCol="0" dragToPage="0" dragToData="1" caption="Weighted Average Current Limit Loan-to-Value Ratio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% Owner Occupied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Fixed Housing Loan Balance $"/>
    <pivotHierarchy dragToRow="0" dragToCol="0" dragToPage="0" dragToData="1" caption="Variable Housing Loan Balance $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124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4.xml><?xml version="1.0" encoding="utf-8"?>
<pivotTableDefinition xmlns="http://schemas.openxmlformats.org/spreadsheetml/2006/main" name="ptALRCS" cacheId="9" dataOnRows="1" applyNumberFormats="0" applyBorderFormats="0" applyFontFormats="0" applyPatternFormats="0" applyAlignmentFormats="0" applyWidthHeightFormats="1" dataCaption="Values" updatedVersion="4" minRefreshableVersion="3" showCalcMbrs="0" subtotalHiddenItems="1" rowGrandTotals="0" colGrandTotals="0" itemPrintTitles="1" createdVersion="3" indent="0" compact="0" compactData="0" gridDropZones="1" multipleFieldFilters="0" fieldListSortAscending="1">
  <location ref="G6:H13" firstHeaderRow="1" firstDataRow="2" firstDataCol="1" rowPageCount="3" colPageCount="1"/>
  <pivotFields count="20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4"/>
  </colFields>
  <colItems count="1">
    <i>
      <x/>
    </i>
  </colItems>
  <pageFields count="3">
    <pageField fld="18" hier="98" name="[Dimension Pool].[Dim Reporting Date ID].&amp;[20120731]" cap="20120731"/>
    <pageField fld="0" hier="99" name="[Dimension Pool].[DimPoolID].[All]" cap="All"/>
    <pageField fld="19" hier="0" name="[Consolidation LTV Pass].[LTV Pass No].&amp;[ECPass3]" cap="ECPass3"/>
  </pageFields>
  <dataFields count="6">
    <dataField fld="12" baseField="0" baseItem="0"/>
    <dataField fld="13" baseField="0" baseItem="0"/>
    <dataField fld="14" baseField="0" baseItem="0"/>
    <dataField fld="15" baseField="0" baseItem="0" numFmtId="164"/>
    <dataField fld="16" baseField="0" baseItem="0" numFmtId="164"/>
    <dataField fld="17" baseField="0" baseItem="0" numFmtId="164"/>
  </dataFields>
  <formats count="10">
    <format dxfId="508">
      <pivotArea type="all" dataOnly="0" outline="0" fieldPosition="0"/>
    </format>
    <format dxfId="507">
      <pivotArea field="0" type="button" dataOnly="0" labelOnly="1" outline="0" axis="axisPage" fieldPosition="1"/>
    </format>
    <format dxfId="506">
      <pivotArea outline="0" collapsedLevelsAreSubtotals="1" fieldPosition="0">
        <references count="1">
          <reference field="4294967294" count="3" selected="0">
            <x v="3"/>
            <x v="4"/>
            <x v="5"/>
          </reference>
        </references>
      </pivotArea>
    </format>
    <format dxfId="505">
      <pivotArea field="18" type="button" dataOnly="0" labelOnly="1" outline="0" axis="axisPage" fieldPosition="0"/>
    </format>
    <format dxfId="504">
      <pivotArea field="18" type="button" dataOnly="0" labelOnly="1" outline="0" axis="axisPage" fieldPosition="0"/>
    </format>
    <format dxfId="50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02">
      <pivotArea field="-2" type="button" dataOnly="0" labelOnly="1" outline="0" axis="axisRow" fieldPosition="0"/>
    </format>
    <format dxfId="501">
      <pivotArea dataOnly="0" labelOnly="1" outline="0" fieldPosition="0">
        <references count="1">
          <reference field="4" count="0"/>
        </references>
      </pivotArea>
    </format>
    <format dxfId="500">
      <pivotArea field="19" type="button" dataOnly="0" labelOnly="1" outline="0" axis="axisPage" fieldPosition="2"/>
    </format>
    <format dxfId="499">
      <pivotArea field="19" type="button" dataOnly="0" labelOnly="1" outline="0" axis="axisPage" fieldPosition="2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5.xml><?xml version="1.0" encoding="utf-8"?>
<pivotTableDefinition xmlns="http://schemas.openxmlformats.org/spreadsheetml/2006/main" name="ptALRSS" cacheId="12" dataOnRows="1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compact="0" compactData="0" gridDropZones="1" multipleFieldFilters="0" fieldListSortAscending="1">
  <location ref="D6:E13" firstHeaderRow="1" firstDataRow="2" firstDataCol="1" rowPageCount="2" colPageCount="1"/>
  <pivotFields count="19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4"/>
  </colFields>
  <colItems count="1">
    <i>
      <x/>
    </i>
  </colItems>
  <pageFields count="2">
    <pageField fld="18" hier="98" name="[Dimension Pool].[Dim Reporting Date ID].&amp;[20120731]" cap="20120731"/>
    <pageField fld="0" hier="99" name="[Dimension Pool].[DimPoolID].[All]" cap="All"/>
  </pageFields>
  <dataFields count="6">
    <dataField fld="12" baseField="0" baseItem="0"/>
    <dataField fld="13" baseField="0" baseItem="0"/>
    <dataField fld="14" baseField="0" baseItem="0"/>
    <dataField fld="15" baseField="0" baseItem="0"/>
    <dataField fld="16" baseField="0" baseItem="0"/>
    <dataField fld="17" baseField="0" baseItem="0"/>
  </dataFields>
  <formats count="8">
    <format dxfId="516">
      <pivotArea type="all" dataOnly="0" outline="0" fieldPosition="0"/>
    </format>
    <format dxfId="515">
      <pivotArea outline="0" collapsedLevelsAreSubtotals="1" fieldPosition="0">
        <references count="2">
          <reference field="4294967294" count="3" selected="0">
            <x v="3"/>
            <x v="4"/>
            <x v="5"/>
          </reference>
          <reference field="0" count="0" selected="0"/>
        </references>
      </pivotArea>
    </format>
    <format dxfId="514">
      <pivotArea field="0" type="button" dataOnly="0" labelOnly="1" outline="0" axis="axisPage" fieldPosition="1"/>
    </format>
    <format dxfId="513">
      <pivotArea field="18" type="button" dataOnly="0" labelOnly="1" outline="0" axis="axisPage" fieldPosition="0"/>
    </format>
    <format dxfId="512">
      <pivotArea field="18" type="button" dataOnly="0" labelOnly="1" outline="0" axis="axisPage" fieldPosition="0"/>
    </format>
    <format dxfId="51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10">
      <pivotArea field="-2" type="button" dataOnly="0" labelOnly="1" outline="0" axis="axisRow" fieldPosition="0"/>
    </format>
    <format dxfId="509">
      <pivotArea dataOnly="0" labelOnly="1" outline="0" fieldPosition="0">
        <references count="1">
          <reference field="4" count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6.xml><?xml version="1.0" encoding="utf-8"?>
<pivotTableDefinition xmlns="http://schemas.openxmlformats.org/spreadsheetml/2006/main" name="ptALRLS" cacheId="10" dataOnRows="1" applyNumberFormats="0" applyBorderFormats="0" applyFontFormats="0" applyPatternFormats="0" applyAlignmentFormats="0" applyWidthHeightFormats="1" dataCaption="Values" updatedVersion="4" minRefreshableVersion="3" showCalcMbrs="0" subtotalHiddenItems="1" rowGrandTotals="0" colGrandTotals="0" itemPrintTitles="1" createdVersion="3" indent="0" compact="0" compactData="0" gridDropZones="1" multipleFieldFilters="0" fieldListSortAscending="1">
  <location ref="A6:B13" firstHeaderRow="1" firstDataRow="2" firstDataCol="1" rowPageCount="2" colPageCount="1"/>
  <pivotFields count="21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compact="0" allDrilled="1" outline="0" showAll="0" dataSourceSort="1" defaultAttributeDrillState="1">
      <items count="3">
        <item s="1" x="0"/>
        <item s="1" x="1"/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7"/>
  </colFields>
  <colItems count="1">
    <i>
      <x/>
    </i>
  </colItems>
  <pageFields count="2">
    <pageField fld="20" hier="98" name="[Dimension Pool].[Dim Reporting Date ID].&amp;[20120731]" cap="20120731"/>
    <pageField fld="0" hier="99" name="[Dimension Pool].[DimPoolID].[All]" cap="All"/>
  </pageFields>
  <dataFields count="6">
    <dataField fld="4" baseField="0" baseItem="0"/>
    <dataField fld="5" baseField="0" baseItem="0"/>
    <dataField fld="6" baseField="0" baseItem="0"/>
    <dataField fld="15" baseField="0" baseItem="0"/>
    <dataField fld="16" baseField="0" baseItem="0"/>
    <dataField fld="17" baseField="0" baseItem="0"/>
  </dataFields>
  <formats count="9">
    <format dxfId="525">
      <pivotArea outline="0" collapsedLevelsAreSubtotals="1" fieldPosition="0">
        <references count="2">
          <reference field="4294967294" count="3" selected="0">
            <x v="3"/>
            <x v="4"/>
            <x v="5"/>
          </reference>
          <reference field="0" count="0" selected="0"/>
        </references>
      </pivotArea>
    </format>
    <format dxfId="524">
      <pivotArea type="all" dataOnly="0" outline="0" fieldPosition="0"/>
    </format>
    <format dxfId="523">
      <pivotArea field="0" type="button" dataOnly="0" labelOnly="1" outline="0" axis="axisPage" fieldPosition="1"/>
    </format>
    <format dxfId="522">
      <pivotArea field="18" type="button" dataOnly="0" labelOnly="1" outline="0"/>
    </format>
    <format dxfId="521">
      <pivotArea field="20" type="button" dataOnly="0" labelOnly="1" outline="0" axis="axisPage" fieldPosition="0"/>
    </format>
    <format dxfId="520">
      <pivotArea dataOnly="0" labelOnly="1" outline="0" fieldPosition="0">
        <references count="1">
          <reference field="20" count="0"/>
        </references>
      </pivotArea>
    </format>
    <format dxfId="51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18">
      <pivotArea field="-2" type="button" dataOnly="0" labelOnly="1" outline="0" axis="axisRow" fieldPosition="0"/>
    </format>
    <format dxfId="517">
      <pivotArea dataOnly="0" labelOnly="1" outline="0" fieldPosition="0">
        <references count="1">
          <reference field="7" count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9"/>
        <mp field="10"/>
        <mp field="11"/>
        <mp field="12"/>
        <mp field="13"/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9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7.xml><?xml version="1.0" encoding="utf-8"?>
<pivotTableDefinition xmlns="http://schemas.openxmlformats.org/spreadsheetml/2006/main" name="ptALRFC" cacheId="14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R5:T7" firstHeaderRow="1" firstDataRow="3" firstDataCol="1" rowPageCount="2" colPageCount="1"/>
  <pivotFields count="23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colFields count="2">
    <field x="11"/>
    <field x="-2"/>
  </colFields>
  <pageFields count="2">
    <pageField fld="21" hier="98" name="[Dimension Pool].[Dim Reporting Date ID].&amp;[20120731]" cap="20120731"/>
    <pageField fld="22" hier="0" name="[Consolidation LTV Pass].[LTV Pass No].&amp;[ECPass3]" cap="ECPass3"/>
  </pageFields>
  <dataFields count="2">
    <dataField fld="19" baseField="0" baseItem="0"/>
    <dataField fld="20" baseField="0" baseItem="0"/>
  </dataFields>
  <formats count="12">
    <format dxfId="537">
      <pivotArea type="all" dataOnly="0" outline="0" fieldPosition="0"/>
    </format>
    <format dxfId="536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35">
      <pivotArea field="-2" type="button" dataOnly="0" labelOnly="1" outline="0" axis="axisCol" fieldPosition="1"/>
    </format>
    <format dxfId="534">
      <pivotArea dataOnly="0" labelOnly="1" fieldPosition="0">
        <references count="1">
          <reference field="11" count="0"/>
        </references>
      </pivotArea>
    </format>
    <format dxfId="533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32">
      <pivotArea field="21" type="button" dataOnly="0" labelOnly="1" outline="0" axis="axisPage" fieldPosition="0"/>
    </format>
    <format dxfId="531">
      <pivotArea field="21" type="button" dataOnly="0" labelOnly="1" outline="0" axis="axisPage" fieldPosition="0"/>
    </format>
    <format dxfId="530">
      <pivotArea dataOnly="0" labelOnly="1" fieldPosition="0">
        <references count="1">
          <reference field="0" count="0"/>
        </references>
      </pivotArea>
    </format>
    <format dxfId="529">
      <pivotArea dataOnly="0" labelOnly="1" fieldPosition="0">
        <references count="2">
          <reference field="0" count="0" selected="0"/>
          <reference field="4" count="0"/>
        </references>
      </pivotArea>
    </format>
    <format dxfId="528">
      <pivotArea field="0" type="button" dataOnly="0" labelOnly="1" outline="0" axis="axisRow" fieldPosition="0"/>
    </format>
    <format dxfId="527">
      <pivotArea field="22" type="button" dataOnly="0" labelOnly="1" outline="0" axis="axisPage" fieldPosition="1"/>
    </format>
    <format dxfId="526">
      <pivotArea field="22" type="button" dataOnly="0" labelOnly="1" outline="0" axis="axisPage" fieldPosition="1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8.xml><?xml version="1.0" encoding="utf-8"?>
<pivotTableDefinition xmlns="http://schemas.openxmlformats.org/spreadsheetml/2006/main" name="ptALRFS" cacheId="8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N4:P15" firstHeaderRow="1" firstDataRow="3" firstDataCol="1" rowPageCount="1" colPageCount="1"/>
  <pivotFields count="22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rowItems count="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2">
    <field x="11"/>
    <field x="-2"/>
  </colFields>
  <colItems count="2">
    <i>
      <x/>
      <x/>
    </i>
    <i r="1" i="1">
      <x v="1"/>
    </i>
  </colItems>
  <pageFields count="1">
    <pageField fld="21" hier="98" name="[Dimension Pool].[Dim Reporting Date ID].&amp;[20120731]" cap="20120731"/>
  </pageFields>
  <dataFields count="2">
    <dataField fld="19" baseField="0" baseItem="0"/>
    <dataField fld="20" baseField="0" baseItem="0"/>
  </dataFields>
  <formats count="10">
    <format dxfId="547">
      <pivotArea type="all" dataOnly="0" outline="0" fieldPosition="0"/>
    </format>
    <format dxfId="546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45">
      <pivotArea field="-2" type="button" dataOnly="0" labelOnly="1" outline="0" axis="axisCol" fieldPosition="1"/>
    </format>
    <format dxfId="544">
      <pivotArea dataOnly="0" labelOnly="1" fieldPosition="0">
        <references count="1">
          <reference field="11" count="0"/>
        </references>
      </pivotArea>
    </format>
    <format dxfId="543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42">
      <pivotArea field="21" type="button" dataOnly="0" labelOnly="1" outline="0" axis="axisPage" fieldPosition="0"/>
    </format>
    <format dxfId="541">
      <pivotArea field="21" type="button" dataOnly="0" labelOnly="1" outline="0" axis="axisPage" fieldPosition="0"/>
    </format>
    <format dxfId="540">
      <pivotArea dataOnly="0" labelOnly="1" fieldPosition="0">
        <references count="1">
          <reference field="0" count="0"/>
        </references>
      </pivotArea>
    </format>
    <format dxfId="539">
      <pivotArea dataOnly="0" labelOnly="1" fieldPosition="0">
        <references count="2">
          <reference field="0" count="0" selected="0"/>
          <reference field="4" count="0"/>
        </references>
      </pivotArea>
    </format>
    <format dxfId="538">
      <pivotArea field="0" type="button" dataOnly="0" labelOnly="1" outline="0" axis="axisRow" fieldPosition="0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9.xml><?xml version="1.0" encoding="utf-8"?>
<pivotTableDefinition xmlns="http://schemas.openxmlformats.org/spreadsheetml/2006/main" name="ptALRFL" cacheId="13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J4:L32" firstHeaderRow="1" firstDataRow="3" firstDataCol="1" rowPageCount="1" colPageCount="1"/>
  <pivotFields count="24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llDrilled="1" showAll="0" dataSourceSort="1" defaultAttributeDrillState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rowItems count="2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2">
    <field x="11"/>
    <field x="-2"/>
  </colFields>
  <colItems count="2">
    <i>
      <x/>
      <x/>
    </i>
    <i r="1" i="1">
      <x v="1"/>
    </i>
  </colItems>
  <pageFields count="1">
    <pageField fld="23" hier="98" name="[Dimension Pool].[Dim Reporting Date ID].&amp;[20120731]" cap="20120731"/>
  </pageFields>
  <dataFields count="2">
    <dataField fld="19" baseField="0" baseItem="0"/>
    <dataField fld="20" baseField="0" baseItem="0"/>
  </dataFields>
  <formats count="12">
    <format dxfId="559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58">
      <pivotArea field="-2" type="button" dataOnly="0" labelOnly="1" outline="0" axis="axisCol" fieldPosition="1"/>
    </format>
    <format dxfId="557">
      <pivotArea dataOnly="0" labelOnly="1" fieldPosition="0">
        <references count="1">
          <reference field="11" count="0"/>
        </references>
      </pivotArea>
    </format>
    <format dxfId="556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55">
      <pivotArea type="all" dataOnly="0" outline="0" fieldPosition="0"/>
    </format>
    <format dxfId="554">
      <pivotArea field="23" type="button" dataOnly="0" labelOnly="1" outline="0" axis="axisPage" fieldPosition="0"/>
    </format>
    <format dxfId="553">
      <pivotArea field="23" type="button" dataOnly="0" labelOnly="1" outline="0" axis="axisPage" fieldPosition="0"/>
    </format>
    <format dxfId="552">
      <pivotArea dataOnly="0" labelOnly="1" fieldPosition="0">
        <references count="1">
          <reference field="0" count="0"/>
        </references>
      </pivotArea>
    </format>
    <format dxfId="551">
      <pivotArea dataOnly="0" labelOnly="1" fieldPosition="0">
        <references count="2">
          <reference field="0" count="0" selected="0"/>
          <reference field="4" count="0"/>
        </references>
      </pivotArea>
    </format>
    <format dxfId="550">
      <pivotArea field="0" type="button" dataOnly="0" labelOnly="1" outline="0" axis="axisRow" fieldPosition="0"/>
    </format>
    <format dxfId="549">
      <pivotArea dataOnly="0" labelOnly="1" outline="0" fieldPosition="0">
        <references count="2">
          <reference field="4294967294" count="1">
            <x v="0"/>
          </reference>
          <reference field="11" count="0" selected="0"/>
        </references>
      </pivotArea>
    </format>
    <format dxfId="548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ps count="1">
        <mp field="22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0.xml><?xml version="1.0" encoding="utf-8"?>
<pivotTableDefinition xmlns="http://schemas.openxmlformats.org/spreadsheetml/2006/main" name="ptSLD" cacheId="20" applyNumberFormats="0" applyBorderFormats="0" applyFontFormats="0" applyPatternFormats="0" applyAlignmentFormats="0" applyWidthHeightFormats="1" dataCaption="Values" updatedVersion="4" minRefreshableVersion="3" showCalcMbrs="0" subtotalHiddenItems="1" itemPrintTitles="1" createdVersion="3" indent="0" outline="1" outlineData="1" multipleFieldFilters="0" fieldListSortAscending="1">
  <location ref="AX69:BC73" firstHeaderRow="1" firstDataRow="2" firstDataCol="1" rowPageCount="4" colPageCount="1"/>
  <pivotFields count="14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6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2" hier="98" name="[Dimension Pool].[Dim Reporting Date ID].&amp;[20120731]" cap="20120731"/>
    <pageField fld="0" hier="123" name="[Dimension Trust].[Dim Trust ID].&amp;[0]" cap="UNK"/>
    <pageField fld="2" hier="99" name="[Dimension Pool].[DimPoolID].[All]" cap="All"/>
    <pageField fld="13" hier="0" name="[Consolidation LTV Pass].[LTV Pass No].&amp;[ECPass3]" cap="ECPass3"/>
  </pageFields>
  <dataFields count="5">
    <dataField fld="8" baseField="0" baseItem="0"/>
    <dataField fld="7" baseField="0" baseItem="0" numFmtId="164"/>
    <dataField fld="9" baseField="0" baseItem="0"/>
    <dataField fld="11" baseField="0" baseItem="0"/>
    <dataField fld="10" baseField="0" baseItem="0"/>
  </dataFields>
  <formats count="13">
    <format dxfId="16">
      <pivotArea field="0" type="button" dataOnly="0" labelOnly="1" outline="0" axis="axisPage" fieldPosition="1"/>
    </format>
    <format dxfId="15">
      <pivotArea field="2" type="button" dataOnly="0" labelOnly="1" outline="0" axis="axisPage" fieldPosition="2"/>
    </format>
    <format dxfId="14">
      <pivotArea type="all" dataOnly="0" outline="0" fieldPosition="0"/>
    </format>
    <format dxfId="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">
      <pivotArea field="12" type="button" dataOnly="0" labelOnly="1" outline="0" axis="axisPage" fieldPosition="0"/>
    </format>
    <format dxfId="11">
      <pivotArea field="12" type="button" dataOnly="0" labelOnly="1" outline="0" axis="axisPage" fieldPosition="0"/>
    </format>
    <format dxfId="10">
      <pivotArea dataOnly="0" labelOnly="1" fieldPosition="0">
        <references count="1">
          <reference field="6" count="0"/>
        </references>
      </pivotArea>
    </format>
    <format dxfId="9">
      <pivotArea dataOnly="0" labelOnly="1" grandRow="1" outline="0" fieldPosition="0"/>
    </format>
    <format dxfId="8">
      <pivotArea field="-2" type="button" dataOnly="0" labelOnly="1" outline="0" axis="axisCol" fieldPosition="0"/>
    </format>
    <format dxfId="7">
      <pivotArea type="topRight" dataOnly="0" labelOnly="1" outline="0" fieldPosition="0"/>
    </format>
    <format dxfId="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">
      <pivotArea field="13" type="button" dataOnly="0" labelOnly="1" outline="0" axis="axisPage" fieldPosition="3"/>
    </format>
    <format dxfId="4">
      <pivotArea field="13" type="button" dataOnly="0" labelOnly="1" outline="0" axis="axisPage" fieldPosition="3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3"/>
        <mp field="4"/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1.xml><?xml version="1.0" encoding="utf-8"?>
<pivotTableDefinition xmlns="http://schemas.openxmlformats.org/spreadsheetml/2006/main" name="ptRTTM" cacheId="25" applyNumberFormats="0" applyBorderFormats="0" applyFontFormats="0" applyPatternFormats="0" applyAlignmentFormats="0" applyWidthHeightFormats="1" dataCaption="Values" updatedVersion="4" minRefreshableVersion="3" itemPrintTitles="1" createdVersion="4" indent="0" outline="1" outlineData="1" multipleFieldFilters="0" rowHeaderCaption="Remaining Term Distribution" fieldListSortAscending="1">
  <location ref="BZ54:CE65" firstHeaderRow="0" firstDataRow="1" firstDataCol="1" rowPageCount="4" colPageCount="1"/>
  <pivotFields count="15"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 dataSourceSort="1" defaultSubtotal="0" showPropTip="1"/>
    <pivotField dataField="1" showAll="0"/>
    <pivotField dataField="1" showAll="0"/>
    <pivotField dataField="1" showAll="0"/>
    <pivotField dataField="1" showAll="0"/>
    <pivotField dataField="1" showAll="0"/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0" hier="98" name="[Dimension Pool].[Dim Reporting Date ID].&amp;[20120731]" cap="20120731"/>
    <pageField fld="1" hier="123" name="[Dimension Trust].[Dim Trust ID].&amp;[0]" cap="UNK"/>
    <pageField fld="4" hier="99" name="[Dimension Pool].[DimPoolID].[All]" cap="All"/>
    <pageField fld="3" hier="0" name="[Consolidation LTV Pass].[LTV Pass No].&amp;[ECPass3]" cap="ECPass3"/>
  </pageFields>
  <dataFields count="5">
    <dataField name="No. Of Loans" fld="10" baseField="0" baseItem="0"/>
    <dataField fld="11" baseField="0" baseItem="0"/>
    <dataField fld="12" baseField="0" baseItem="0" numFmtId="164"/>
    <dataField fld="13" baseField="0" baseItem="0"/>
    <dataField fld="14" baseField="0" baseItem="0"/>
  </dataFields>
  <formats count="27">
    <format dxfId="43">
      <pivotArea field="0" type="button" dataOnly="0" labelOnly="1" outline="0" axis="axisPage" fieldPosition="0"/>
    </format>
    <format dxfId="42">
      <pivotArea field="1" type="button" dataOnly="0" labelOnly="1" outline="0" axis="axisPage" fieldPosition="1"/>
    </format>
    <format dxfId="41">
      <pivotArea field="4" type="button" dataOnly="0" labelOnly="1" outline="0" axis="axisPage" fieldPosition="2"/>
    </format>
    <format dxfId="40">
      <pivotArea field="3" type="button" dataOnly="0" labelOnly="1" outline="0" axis="axisPage" fieldPosition="3"/>
    </format>
    <format dxfId="39">
      <pivotArea outline="0" collapsedLevelsAreSubtotals="1" fieldPosition="0"/>
    </format>
    <format dxfId="3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7">
      <pivotArea dataOnly="0" outline="0" fieldPosition="0">
        <references count="1">
          <reference field="4294967294" count="1">
            <x v="1"/>
          </reference>
        </references>
      </pivotArea>
    </format>
    <format dxfId="3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4">
      <pivotArea field="8" type="button" dataOnly="0" labelOnly="1" outline="0" axis="axisRow" fieldPosition="0"/>
    </format>
    <format dxfId="33">
      <pivotArea dataOnly="0" labelOnly="1" fieldPosition="0">
        <references count="1">
          <reference field="8" count="0"/>
        </references>
      </pivotArea>
    </format>
    <format dxfId="32">
      <pivotArea dataOnly="0" labelOnly="1" grandRow="1" outline="0" fieldPosition="0"/>
    </format>
    <format dxfId="31">
      <pivotArea collapsedLevelsAreSubtotals="1" fieldPosition="0">
        <references count="1">
          <reference field="8" count="0"/>
        </references>
      </pivotArea>
    </format>
    <format dxfId="30">
      <pivotArea dataOnly="0" labelOnly="1" fieldPosition="0">
        <references count="1">
          <reference field="8" count="0"/>
        </references>
      </pivotArea>
    </format>
    <format dxfId="29">
      <pivotArea field="0" type="button" dataOnly="0" labelOnly="1" outline="0" axis="axisPage" fieldPosition="0"/>
    </format>
    <format dxfId="28">
      <pivotArea dataOnly="0" labelOnly="1" outline="0" fieldPosition="0">
        <references count="1">
          <reference field="0" count="0"/>
        </references>
      </pivotArea>
    </format>
    <format dxfId="27">
      <pivotArea field="1" type="button" dataOnly="0" labelOnly="1" outline="0" axis="axisPage" fieldPosition="1"/>
    </format>
    <format dxfId="26">
      <pivotArea dataOnly="0" labelOnly="1" outline="0" fieldPosition="0">
        <references count="1">
          <reference field="1" count="0"/>
        </references>
      </pivotArea>
    </format>
    <format dxfId="25">
      <pivotArea field="4" type="button" dataOnly="0" labelOnly="1" outline="0" axis="axisPage" fieldPosition="2"/>
    </format>
    <format dxfId="24">
      <pivotArea dataOnly="0" labelOnly="1" outline="0" fieldPosition="0">
        <references count="1">
          <reference field="4" count="0"/>
        </references>
      </pivotArea>
    </format>
    <format dxfId="23">
      <pivotArea field="3" type="button" dataOnly="0" labelOnly="1" outline="0" axis="axisPage" fieldPosition="3"/>
    </format>
    <format dxfId="22">
      <pivotArea dataOnly="0" labelOnly="1" outline="0" fieldPosition="0">
        <references count="1">
          <reference field="3" count="0"/>
        </references>
      </pivotArea>
    </format>
    <format dxfId="21">
      <pivotArea grandRow="1" outline="0" collapsedLevelsAreSubtotals="1" fieldPosition="0"/>
    </format>
    <format dxfId="20">
      <pivotArea dataOnly="0" labelOnly="1" grandRow="1" outline="0" fieldPosition="0"/>
    </format>
    <format dxfId="19">
      <pivotArea field="8" type="button" dataOnly="0" labelOnly="1" outline="0" axis="axisRow" fieldPosition="0"/>
    </format>
    <format dxfId="1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">
      <pivotArea field="8" type="button" dataOnly="0" labelOnly="1" outline="0" axis="axisRow" fieldPosition="0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5"/>
        <mp field="6"/>
        <mp field="7"/>
      </mps>
    </pivotHierarchy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2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0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12.xml><?xml version="1.0" encoding="utf-8"?>
<pivotTableDefinition xmlns="http://schemas.openxmlformats.org/spreadsheetml/2006/main" name="ptIRT" cacheId="28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Interest Rate Type_x000a_Interest Rate Type Description" colHeaderCaption="LTV Pass No" fieldListSortAscending="1">
  <location ref="AX21:BC25" firstHeaderRow="1" firstDataRow="2" firstDataCol="1" rowPageCount="4" colPageCount="1"/>
  <pivotFields count="15"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9" name="[Dimension Pool].[Dim Reporting Date ID].&amp;[20120731]" cap="20120731"/>
    <pageField fld="3" hier="124" name="[Dimension Trust].[Dim Trust ID].&amp;[0]" cap="UNK"/>
    <pageField fld="9" hier="100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/>
    <dataField fld="7" baseField="0" baseItem="0"/>
    <dataField fld="8" baseField="0" baseItem="0"/>
  </dataFields>
  <formats count="21">
    <format dxfId="6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2">
      <pivotArea type="topRight" dataOnly="0" labelOnly="1" outline="0" fieldPosition="0"/>
    </format>
    <format dxfId="6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0">
      <pivotArea field="3" type="button" dataOnly="0" labelOnly="1" outline="0" axis="axisPage" fieldPosition="1"/>
    </format>
    <format dxfId="59">
      <pivotArea field="9" type="button" dataOnly="0" labelOnly="1" outline="0" axis="axisPage" fieldPosition="2"/>
    </format>
    <format dxfId="58">
      <pivotArea dataOnly="0" labelOnly="1" outline="0" fieldPosition="0">
        <references count="1">
          <reference field="3" count="0"/>
        </references>
      </pivotArea>
    </format>
    <format dxfId="57">
      <pivotArea dataOnly="0" labelOnly="1" outline="0" fieldPosition="0">
        <references count="1">
          <reference field="9" count="0"/>
        </references>
      </pivotArea>
    </format>
    <format dxfId="56">
      <pivotArea field="-2" type="button" dataOnly="0" labelOnly="1" outline="0" axis="axisCol" fieldPosition="0"/>
    </format>
    <format dxfId="5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4">
      <pivotArea type="all" dataOnly="0" outline="0" fieldPosition="0"/>
    </format>
    <format dxfId="53">
      <pivotArea type="all" dataOnly="0" outline="0" fieldPosition="0"/>
    </format>
    <format dxfId="52">
      <pivotArea field="13" type="button" dataOnly="0" labelOnly="1" outline="0" axis="axisPage" fieldPosition="0"/>
    </format>
    <format dxfId="5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field="-2" type="button" dataOnly="0" labelOnly="1" outline="0" axis="axisCol" fieldPosition="0"/>
    </format>
    <format dxfId="47">
      <pivotArea type="topRight" dataOnly="0" labelOnly="1" outline="0" fieldPosition="0"/>
    </format>
    <format dxfId="4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5">
      <pivotArea field="14" type="button" dataOnly="0" labelOnly="1" outline="0" axis="axisPage" fieldPosition="3"/>
    </format>
    <format dxfId="44">
      <pivotArea field="14" type="button" dataOnly="0" labelOnly="1" outline="0" axis="axisPage" fieldPosition="3"/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3.xml><?xml version="1.0" encoding="utf-8"?>
<pivotTableDefinition xmlns="http://schemas.openxmlformats.org/spreadsheetml/2006/main" name="ptSD" cacheId="16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V8:AA24" firstHeaderRow="1" firstDataRow="2" firstDataCol="1" rowPageCount="4" colPageCount="1"/>
  <pivotFields count="16">
    <pivotField axis="axisRow" allDrilled="1" showAll="0" dataSourceSort="1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/>
    <dataField fld="6" baseField="0" baseItem="0" numFmtId="164"/>
    <dataField fld="7" baseField="0" baseItem="0"/>
    <dataField fld="8" baseField="0" baseItem="0"/>
  </dataFields>
  <formats count="26">
    <format dxfId="90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89">
      <pivotArea collapsedLevelsAreSubtotals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88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87">
      <pivotArea field="0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8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5">
      <pivotArea type="topRight" dataOnly="0" labelOnly="1" outline="0" fieldPosition="0"/>
    </format>
    <format dxfId="8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83">
      <pivotArea dataOnly="0" labelOnly="1" outline="0" fieldPosition="0">
        <references count="1">
          <reference field="3" count="0"/>
        </references>
      </pivotArea>
    </format>
    <format dxfId="82">
      <pivotArea dataOnly="0" labelOnly="1" outline="0" fieldPosition="0">
        <references count="1">
          <reference field="9" count="0"/>
        </references>
      </pivotArea>
    </format>
    <format dxfId="81">
      <pivotArea field="-2" type="button" dataOnly="0" labelOnly="1" outline="0" axis="axisCol" fieldPosition="0"/>
    </format>
    <format dxfId="8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9">
      <pivotArea type="all" dataOnly="0" outline="0" fieldPosition="0"/>
    </format>
    <format dxfId="78">
      <pivotArea type="all" dataOnly="0" outline="0" fieldPosition="0"/>
    </format>
    <format dxfId="77">
      <pivotArea field="3" type="button" dataOnly="0" labelOnly="1" outline="0" axis="axisPage" fieldPosition="1"/>
    </format>
    <format dxfId="76">
      <pivotArea field="9" type="button" dataOnly="0" labelOnly="1" outline="0" axis="axisPage" fieldPosition="2"/>
    </format>
    <format dxfId="75">
      <pivotArea field="13" type="button" dataOnly="0" labelOnly="1" outline="0" axis="axisPage" fieldPosition="0"/>
    </format>
    <format dxfId="74">
      <pivotArea field="13" type="button" dataOnly="0" labelOnly="1" outline="0" axis="axisPage" fieldPosition="0"/>
    </format>
    <format dxfId="7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2">
      <pivotArea dataOnly="0" labelOnly="1" fieldPosition="0">
        <references count="1">
          <reference field="0" count="0"/>
        </references>
      </pivotArea>
    </format>
    <format dxfId="71">
      <pivotArea dataOnly="0" labelOnly="1" grandRow="1" outline="0" fieldPosition="0"/>
    </format>
    <format dxfId="70">
      <pivotArea field="-2" type="button" dataOnly="0" labelOnly="1" outline="0" axis="axisCol" fieldPosition="0"/>
    </format>
    <format dxfId="69">
      <pivotArea type="topRight" dataOnly="0" labelOnly="1" outline="0" fieldPosition="0"/>
    </format>
    <format dxfId="6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67">
      <pivotArea field="15" type="button" dataOnly="0" labelOnly="1" outline="0" axis="axisPage" fieldPosition="3"/>
    </format>
    <format dxfId="66">
      <pivotArea field="15" type="button" dataOnly="0" labelOnly="1" outline="0" axis="axisPage" fieldPosition="3"/>
    </format>
    <format dxfId="6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4.xml><?xml version="1.0" encoding="utf-8"?>
<pivotTableDefinition xmlns="http://schemas.openxmlformats.org/spreadsheetml/2006/main" name="ptAD" cacheId="4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ays in arrears" colHeaderCaption="LTV Pass No" fieldListSortAscending="1">
  <location ref="AQ7:AV11" firstHeaderRow="1" firstDataRow="2" firstDataCol="1" rowPageCount="4" colPageCount="1"/>
  <pivotFields count="16"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2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5" baseField="0" baseItem="0"/>
    <dataField fld="6" baseField="0" baseItem="0" numFmtId="164"/>
    <dataField fld="7" baseField="0" baseItem="0"/>
    <dataField fld="8" baseField="0" baseItem="0"/>
  </dataFields>
  <formats count="22">
    <format dxfId="11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11">
      <pivotArea type="topRight" dataOnly="0" labelOnly="1" outline="0" fieldPosition="0"/>
    </format>
    <format dxfId="11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09">
      <pivotArea dataOnly="0" labelOnly="1" outline="0" fieldPosition="0">
        <references count="1">
          <reference field="2" count="0"/>
        </references>
      </pivotArea>
    </format>
    <format dxfId="108">
      <pivotArea dataOnly="0" labelOnly="1" outline="0" fieldPosition="0">
        <references count="1">
          <reference field="9" count="0"/>
        </references>
      </pivotArea>
    </format>
    <format dxfId="107">
      <pivotArea field="-2" type="button" dataOnly="0" labelOnly="1" outline="0" axis="axisCol" fieldPosition="0"/>
    </format>
    <format dxfId="10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5">
      <pivotArea type="all" dataOnly="0" outline="0" fieldPosition="0"/>
    </format>
    <format dxfId="104">
      <pivotArea type="all" dataOnly="0" outline="0" fieldPosition="0"/>
    </format>
    <format dxfId="103">
      <pivotArea field="2" type="button" dataOnly="0" labelOnly="1" outline="0" axis="axisPage" fieldPosition="1"/>
    </format>
    <format dxfId="102">
      <pivotArea field="9" type="button" dataOnly="0" labelOnly="1" outline="0" axis="axisPage" fieldPosition="2"/>
    </format>
    <format dxfId="101">
      <pivotArea field="13" type="button" dataOnly="0" labelOnly="1" outline="0" axis="axisPage" fieldPosition="0"/>
    </format>
    <format dxfId="100">
      <pivotArea field="13" type="button" dataOnly="0" labelOnly="1" outline="0" axis="axisPage" fieldPosition="0"/>
    </format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fieldPosition="0">
        <references count="1">
          <reference field="0" count="0"/>
        </references>
      </pivotArea>
    </format>
    <format dxfId="97">
      <pivotArea dataOnly="0" labelOnly="1" grandRow="1" outline="0" fieldPosition="0"/>
    </format>
    <format dxfId="96">
      <pivotArea field="-2" type="button" dataOnly="0" labelOnly="1" outline="0" axis="axisCol" fieldPosition="0"/>
    </format>
    <format dxfId="95">
      <pivotArea type="topRight" dataOnly="0" labelOnly="1" outline="0" fieldPosition="0"/>
    </format>
    <format dxfId="9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3">
      <pivotArea field="15" type="button" dataOnly="0" labelOnly="1" outline="0" axis="axisPage" fieldPosition="3"/>
    </format>
    <format dxfId="92">
      <pivotArea field="15" type="button" dataOnly="0" labelOnly="1" outline="0" axis="axisPage" fieldPosition="3"/>
    </format>
    <format dxfId="9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5.xml><?xml version="1.0" encoding="utf-8"?>
<pivotTableDefinition xmlns="http://schemas.openxmlformats.org/spreadsheetml/2006/main" name="ptMSSD" cacheId="1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State Distribution for Main Security_x000a_" colHeaderCaption="LTV Pass No" fieldListSortAscending="1">
  <location ref="BL7:BQ19" firstHeaderRow="1" firstDataRow="2" firstDataCol="1" rowPageCount="4" colPageCount="1"/>
  <pivotFields count="27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2">
        <item c="1" x="0" d="1"/>
        <item t="default"/>
      </items>
    </pivotField>
    <pivotField axis="axisRow" showAll="0" dataSourceSort="1">
      <items count="1">
        <item t="default"/>
      </items>
    </pivotField>
    <pivotField axis="axisRow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showAll="0" hideNewItems="1">
      <items count="10">
        <item n="ACT" c="1" x="1"/>
        <item n="NSW" c="1" x="2"/>
        <item n="NT" c="1" x="3"/>
        <item n="QLD" c="1" x="4"/>
        <item n="SA" c="1" x="5"/>
        <item n="TAS" c="1" x="6"/>
        <item n="VIC" c="1" x="7"/>
        <item n="WA" c="1" x="8"/>
        <item c="1" x="0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13"/>
    <field x="25"/>
  </rowFields>
  <rowItems count="1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2" hier="98" name="[Dimension Pool].[Dim Reporting Date ID].&amp;[20120731]" cap="20120731"/>
    <pageField fld="2" hier="123" name="[Dimension Trust].[Dim Trust ID].&amp;[0]" cap="UNK"/>
    <pageField fld="8" hier="99" name="[Dimension Pool].[DimPoolID].[All]" cap="All"/>
    <pageField fld="26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5" baseField="0" baseItem="0"/>
    <dataField fld="6" baseField="0" baseItem="0"/>
    <dataField fld="7" baseField="0" baseItem="0"/>
  </dataFields>
  <formats count="21">
    <format dxfId="13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3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1">
      <pivotArea type="topRight" dataOnly="0" labelOnly="1" outline="0" fieldPosition="0"/>
    </format>
    <format dxfId="13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29">
      <pivotArea dataOnly="0" labelOnly="1" outline="0" fieldPosition="0">
        <references count="1">
          <reference field="2" count="0"/>
        </references>
      </pivotArea>
    </format>
    <format dxfId="128">
      <pivotArea dataOnly="0" labelOnly="1" outline="0" fieldPosition="0">
        <references count="1">
          <reference field="8" count="0"/>
        </references>
      </pivotArea>
    </format>
    <format dxfId="127">
      <pivotArea field="-2" type="button" dataOnly="0" labelOnly="1" outline="0" axis="axisCol" fieldPosition="0"/>
    </format>
    <format dxfId="12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5">
      <pivotArea field="2" type="button" dataOnly="0" labelOnly="1" outline="0" axis="axisPage" fieldPosition="1"/>
    </format>
    <format dxfId="124">
      <pivotArea field="8" type="button" dataOnly="0" labelOnly="1" outline="0" axis="axisPage" fieldPosition="2"/>
    </format>
    <format dxfId="123">
      <pivotArea type="all" dataOnly="0" outline="0" fieldPosition="0"/>
    </format>
    <format dxfId="122">
      <pivotArea field="12" type="button" dataOnly="0" labelOnly="1" outline="0" axis="axisPage" fieldPosition="0"/>
    </format>
    <format dxfId="121">
      <pivotArea field="12" type="button" dataOnly="0" labelOnly="1" outline="0" axis="axisPage" fieldPosition="0"/>
    </format>
    <format dxfId="12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9">
      <pivotArea dataOnly="0" labelOnly="1" grandRow="1" outline="0" fieldPosition="0"/>
    </format>
    <format dxfId="118">
      <pivotArea field="-2" type="button" dataOnly="0" labelOnly="1" outline="0" axis="axisCol" fieldPosition="0"/>
    </format>
    <format dxfId="117">
      <pivotArea type="topRight" dataOnly="0" labelOnly="1" outline="0" fieldPosition="0"/>
    </format>
    <format dxfId="1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5">
      <pivotArea dataOnly="0" labelOnly="1" fieldPosition="0">
        <references count="1">
          <reference field="13" count="0"/>
        </references>
      </pivotArea>
    </format>
    <format dxfId="114">
      <pivotArea field="26" type="button" dataOnly="0" labelOnly="1" outline="0" axis="axisPage" fieldPosition="3"/>
    </format>
    <format dxfId="113">
      <pivotArea field="26" type="button" dataOnly="0" labelOnly="1" outline="0" axis="axisPage" fieldPosition="3"/>
    </format>
  </formats>
  <pivotHierarchies count="218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9">
        <mp field="16"/>
        <mp field="17"/>
        <mp field="18"/>
        <mp field="19"/>
        <mp field="20"/>
        <mp field="21"/>
        <mp field="22"/>
        <mp field="23"/>
        <mp field="2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 showInFieldList="0"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6.xml><?xml version="1.0" encoding="utf-8"?>
<pivotTableDefinition xmlns="http://schemas.openxmlformats.org/spreadsheetml/2006/main" name="ptMSRD" cacheId="22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Region Distribution for Main Security" colHeaderCaption="LTV Pass No" fieldListSortAscending="1">
  <location ref="BL46:BQ66" firstHeaderRow="1" firstDataRow="2" firstDataCol="1" rowPageCount="4" colPageCount="1"/>
  <pivotFields count="26">
    <pivotField axis="axisRow" allDrilled="1" showAll="0" dataSourceSort="1">
      <items count="2">
        <item c="1" x="0" d="1"/>
        <item t="default"/>
      </items>
    </pivotField>
    <pivotField axis="axisRow" showAll="0">
      <items count="18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c="1" x="13"/>
        <item c="1" x="14"/>
        <item c="1" x="15"/>
        <item c="1" x="16"/>
        <item t="default"/>
      </items>
    </pivotField>
    <pivotField axis="axisRow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0"/>
    <field x="1"/>
  </rowFields>
  <rowItems count="1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24" hier="98" name="[Dimension Pool].[Dim Reporting Date ID].&amp;[20120731]" cap="20120731"/>
    <pageField fld="14" hier="123" name="[Dimension Trust].[Dim Trust ID].&amp;[0]" cap="UNK"/>
    <pageField fld="20" hier="99" name="[Dimension Pool].[DimPoolID].[All]" cap="All"/>
    <pageField fld="25" hier="130" name="[Main Security LTV Pass No].[LTV Pass No].&amp;[ECPass3]" cap="ECPass3"/>
  </pageFields>
  <dataFields count="5">
    <dataField name="No. Of Loans" fld="12" baseField="0" baseItem="0"/>
    <dataField fld="13" baseField="0" baseItem="0" numFmtId="164"/>
    <dataField fld="17" baseField="0" baseItem="0" numFmtId="164"/>
    <dataField fld="18" baseField="0" baseItem="0"/>
    <dataField fld="19" baseField="0" baseItem="0"/>
  </dataFields>
  <formats count="22">
    <format dxfId="15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3">
      <pivotArea type="topRight" dataOnly="0" labelOnly="1" outline="0" fieldPosition="0"/>
    </format>
    <format dxfId="15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51">
      <pivotArea dataOnly="0" labelOnly="1" outline="0" fieldPosition="0">
        <references count="1">
          <reference field="14" count="0"/>
        </references>
      </pivotArea>
    </format>
    <format dxfId="150">
      <pivotArea dataOnly="0" labelOnly="1" outline="0" fieldPosition="0">
        <references count="1">
          <reference field="20" count="0"/>
        </references>
      </pivotArea>
    </format>
    <format dxfId="149">
      <pivotArea field="-2" type="button" dataOnly="0" labelOnly="1" outline="0" axis="axisCol" fieldPosition="0"/>
    </format>
    <format dxfId="14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7">
      <pivotArea field="14" type="button" dataOnly="0" labelOnly="1" outline="0" axis="axisPage" fieldPosition="1"/>
    </format>
    <format dxfId="146">
      <pivotArea field="20" type="button" dataOnly="0" labelOnly="1" outline="0" axis="axisPage" fieldPosition="2"/>
    </format>
    <format dxfId="145">
      <pivotArea type="all" dataOnly="0" outline="0" fieldPosition="0"/>
    </format>
    <format dxfId="144">
      <pivotArea field="24" type="button" dataOnly="0" labelOnly="1" outline="0" axis="axisPage" fieldPosition="0"/>
    </format>
    <format dxfId="143">
      <pivotArea field="24" type="button" dataOnly="0" labelOnly="1" outline="0" axis="axisPage" fieldPosition="0"/>
    </format>
    <format dxfId="14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41">
      <pivotArea dataOnly="0" labelOnly="1" fieldPosition="0">
        <references count="1">
          <reference field="0" count="0"/>
        </references>
      </pivotArea>
    </format>
    <format dxfId="140">
      <pivotArea dataOnly="0" labelOnly="1" grandRow="1" outline="0" fieldPosition="0"/>
    </format>
    <format dxfId="139">
      <pivotArea field="-2" type="button" dataOnly="0" labelOnly="1" outline="0" axis="axisCol" fieldPosition="0"/>
    </format>
    <format dxfId="138">
      <pivotArea type="topRight" dataOnly="0" labelOnly="1" outline="0" fieldPosition="0"/>
    </format>
    <format dxfId="13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6">
      <pivotArea field="25" type="button" dataOnly="0" labelOnly="1" outline="0" axis="axisPage" fieldPosition="3"/>
    </format>
    <format dxfId="135">
      <pivotArea field="25" type="button" dataOnly="0" labelOnly="1" outline="0" axis="axisPage" fieldPosition="3"/>
    </format>
    <format dxfId="13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9">
        <mp field="3"/>
        <mp field="4"/>
        <mp field="5"/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21"/>
        <mp field="22"/>
        <mp field="2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15"/>
        <mp field="16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7.xml><?xml version="1.0" encoding="utf-8"?>
<pivotTableDefinition xmlns="http://schemas.openxmlformats.org/spreadsheetml/2006/main" name="ptFRERT" cacheId="30" applyNumberFormats="0" applyBorderFormats="0" applyFontFormats="0" applyPatternFormats="0" applyAlignmentFormats="0" applyWidthHeightFormats="1" dataCaption="Values" updatedVersion="4" minRefreshableVersion="3" subtotalHiddenItems="1" itemPrintTitles="1" createdVersion="4" indent="0" outline="1" outlineData="1" multipleFieldFilters="0" rowHeaderCaption="Fixed Rate Expiry Date Remaing Term Distribution" fieldListSortAscending="1">
  <location ref="CG54:CL63" firstHeaderRow="0" firstDataRow="1" firstDataCol="1" rowPageCount="5" colPageCount="1"/>
  <pivotFields count="16"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ataSourceSort="1" defaultSubtotal="0" showPropTip="1"/>
    <pivotField dataField="1" showAll="0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8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0" hier="99" name="[Dimension Pool].[Dim Reporting Date ID].&amp;[20120731]" cap="20120731"/>
    <pageField fld="1" hier="100" name="[Dimension Pool].[DimPoolID].[All]" cap="All"/>
    <pageField fld="5" hier="124" name="[Dimension Trust].[Dim Trust ID].&amp;[0]" cap="UNK"/>
    <pageField fld="7" hier="0" name="[Consolidation LTV Pass].[LTV Pass No].&amp;[ECPass3]" cap="ECPass3"/>
    <pageField fld="15" hier="59" name="[Dimension Loan].[Interest Rate Type Desc].&amp;[FIXED]" cap="FIXED"/>
  </pageFields>
  <dataFields count="5">
    <dataField fld="10" baseField="0" baseItem="0"/>
    <dataField fld="11" baseField="0" baseItem="0" numFmtId="164"/>
    <dataField fld="12" baseField="0" baseItem="0" numFmtId="164"/>
    <dataField fld="13" baseField="0" baseItem="0"/>
    <dataField fld="14" baseField="0" baseItem="0"/>
  </dataFields>
  <formats count="29">
    <format dxfId="184">
      <pivotArea field="0" type="button" dataOnly="0" labelOnly="1" outline="0" axis="axisPage" fieldPosition="0"/>
    </format>
    <format dxfId="183">
      <pivotArea field="1" type="button" dataOnly="0" labelOnly="1" outline="0" axis="axisPage" fieldPosition="1"/>
    </format>
    <format dxfId="182">
      <pivotArea field="5" type="button" dataOnly="0" labelOnly="1" outline="0" axis="axisPage" fieldPosition="2"/>
    </format>
    <format dxfId="181">
      <pivotArea field="7" type="button" dataOnly="0" labelOnly="1" outline="0" axis="axisPage" fieldPosition="3"/>
    </format>
    <format dxfId="18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75">
      <pivotArea dataOnly="0" labelOnly="1" fieldPosition="0">
        <references count="1">
          <reference field="8" count="0"/>
        </references>
      </pivotArea>
    </format>
    <format dxfId="174">
      <pivotArea dataOnly="0" labelOnly="1" grandRow="1" outline="0" fieldPosition="0"/>
    </format>
    <format dxfId="173">
      <pivotArea field="8" type="button" dataOnly="0" labelOnly="1" outline="0" axis="axisRow" fieldPosition="0"/>
    </format>
    <format dxfId="172">
      <pivotArea field="0" type="button" dataOnly="0" labelOnly="1" outline="0" axis="axisPage" fieldPosition="0"/>
    </format>
    <format dxfId="171">
      <pivotArea dataOnly="0" labelOnly="1" outline="0" fieldPosition="0">
        <references count="1">
          <reference field="0" count="0"/>
        </references>
      </pivotArea>
    </format>
    <format dxfId="170">
      <pivotArea field="1" type="button" dataOnly="0" labelOnly="1" outline="0" axis="axisPage" fieldPosition="1"/>
    </format>
    <format dxfId="169">
      <pivotArea dataOnly="0" labelOnly="1" outline="0" fieldPosition="0">
        <references count="1">
          <reference field="1" count="0"/>
        </references>
      </pivotArea>
    </format>
    <format dxfId="168">
      <pivotArea field="5" type="button" dataOnly="0" labelOnly="1" outline="0" axis="axisPage" fieldPosition="2"/>
    </format>
    <format dxfId="167">
      <pivotArea dataOnly="0" labelOnly="1" outline="0" fieldPosition="0">
        <references count="1">
          <reference field="5" count="0"/>
        </references>
      </pivotArea>
    </format>
    <format dxfId="166">
      <pivotArea field="7" type="button" dataOnly="0" labelOnly="1" outline="0" axis="axisPage" fieldPosition="3"/>
    </format>
    <format dxfId="165">
      <pivotArea dataOnly="0" labelOnly="1" outline="0" fieldPosition="0">
        <references count="1">
          <reference field="7" count="0"/>
        </references>
      </pivotArea>
    </format>
    <format dxfId="164">
      <pivotArea field="8" type="button" dataOnly="0" labelOnly="1" outline="0" axis="axisRow" fieldPosition="0"/>
    </format>
    <format dxfId="16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62">
      <pivotArea collapsedLevelsAreSubtotals="1" fieldPosition="0">
        <references count="1">
          <reference field="8" count="0"/>
        </references>
      </pivotArea>
    </format>
    <format dxfId="161">
      <pivotArea dataOnly="0" labelOnly="1" fieldPosition="0">
        <references count="1">
          <reference field="8" count="0"/>
        </references>
      </pivotArea>
    </format>
    <format dxfId="160">
      <pivotArea grandRow="1" outline="0" collapsedLevelsAreSubtotals="1" fieldPosition="0"/>
    </format>
    <format dxfId="159">
      <pivotArea dataOnly="0" labelOnly="1" grandRow="1" outline="0" fieldPosition="0"/>
    </format>
    <format dxfId="158">
      <pivotArea field="15" type="button" dataOnly="0" labelOnly="1" outline="0" axis="axisPage" fieldPosition="4"/>
    </format>
    <format dxfId="157">
      <pivotArea field="15" type="button" dataOnly="0" labelOnly="1" outline="0" axis="axisPage" fieldPosition="4"/>
    </format>
    <format dxfId="156">
      <pivotArea dataOnly="0" labelOnly="1" outline="0" fieldPosition="0">
        <references count="1">
          <reference field="15" count="0"/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2"/>
        <mp field="3"/>
        <mp field="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6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18.xml><?xml version="1.0" encoding="utf-8"?>
<pivotTableDefinition xmlns="http://schemas.openxmlformats.org/spreadsheetml/2006/main" name="ptMID" cacheId="2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Mortgage Insurance" colHeaderCaption="LTV Pass No" fieldListSortAscending="1">
  <location ref="AX83:BC93" firstHeaderRow="1" firstDataRow="2" firstDataCol="1" rowPageCount="4" colPageCount="1"/>
  <pivotFields count="15"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20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0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5">
      <pivotArea type="topRight" dataOnly="0" labelOnly="1" outline="0" fieldPosition="0"/>
    </format>
    <format dxfId="20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03">
      <pivotArea dataOnly="0" labelOnly="1" outline="0" fieldPosition="0">
        <references count="1">
          <reference field="3" count="0"/>
        </references>
      </pivotArea>
    </format>
    <format dxfId="202">
      <pivotArea dataOnly="0" labelOnly="1" outline="0" fieldPosition="0">
        <references count="1">
          <reference field="9" count="0"/>
        </references>
      </pivotArea>
    </format>
    <format dxfId="201">
      <pivotArea field="-2" type="button" dataOnly="0" labelOnly="1" outline="0" axis="axisCol" fieldPosition="0"/>
    </format>
    <format dxfId="20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9">
      <pivotArea type="all" dataOnly="0" outline="0" fieldPosition="0"/>
    </format>
    <format dxfId="198">
      <pivotArea field="3" type="button" dataOnly="0" labelOnly="1" outline="0" axis="axisPage" fieldPosition="1"/>
    </format>
    <format dxfId="197">
      <pivotArea field="9" type="button" dataOnly="0" labelOnly="1" outline="0" axis="axisPage" fieldPosition="2"/>
    </format>
    <format dxfId="196">
      <pivotArea type="all" dataOnly="0" outline="0" fieldPosition="0"/>
    </format>
    <format dxfId="195">
      <pivotArea field="13" type="button" dataOnly="0" labelOnly="1" outline="0" axis="axisPage" fieldPosition="0"/>
    </format>
    <format dxfId="194">
      <pivotArea field="13" type="button" dataOnly="0" labelOnly="1" outline="0" axis="axisPage" fieldPosition="0"/>
    </format>
    <format dxfId="19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2">
      <pivotArea dataOnly="0" labelOnly="1" fieldPosition="0">
        <references count="1">
          <reference field="0" count="0"/>
        </references>
      </pivotArea>
    </format>
    <format dxfId="191">
      <pivotArea dataOnly="0" labelOnly="1" grandRow="1" outline="0" fieldPosition="0"/>
    </format>
    <format dxfId="190">
      <pivotArea field="-2" type="button" dataOnly="0" labelOnly="1" outline="0" axis="axisCol" fieldPosition="0"/>
    </format>
    <format dxfId="189">
      <pivotArea type="topRight" dataOnly="0" labelOnly="1" outline="0" fieldPosition="0"/>
    </format>
    <format dxfId="18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7">
      <pivotArea field="14" type="button" dataOnly="0" labelOnly="1" outline="0" axis="axisPage" fieldPosition="3"/>
    </format>
    <format dxfId="186">
      <pivotArea field="14" type="button" dataOnly="0" labelOnly="1" outline="0" axis="axisPage" fieldPosition="3"/>
    </format>
    <format dxfId="18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9.xml><?xml version="1.0" encoding="utf-8"?>
<pivotTableDefinition xmlns="http://schemas.openxmlformats.org/spreadsheetml/2006/main" name="ptMSOPBD" cacheId="19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Occupancy Purpose" colHeaderCaption="LTV Pass No" fieldListSortAscending="1">
  <location ref="AX36:BC42" firstHeaderRow="1" firstDataRow="2" firstDataCol="1" rowPageCount="4" colPageCount="1"/>
  <pivotFields count="15">
    <pivotField dataField="1" showAll="0"/>
    <pivotField dataField="1" showAll="0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6" baseField="0" baseItem="0"/>
    <dataField fld="7" baseField="0" baseItem="0"/>
    <dataField fld="8" baseField="0" baseItem="0"/>
  </dataFields>
  <formats count="22">
    <format dxfId="22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2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7">
      <pivotArea type="topRight" dataOnly="0" labelOnly="1" outline="0" fieldPosition="0"/>
    </format>
    <format dxfId="22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25">
      <pivotArea field="3" type="button" dataOnly="0" labelOnly="1" outline="0" axis="axisPage" fieldPosition="1"/>
    </format>
    <format dxfId="224">
      <pivotArea field="9" type="button" dataOnly="0" labelOnly="1" outline="0" axis="axisPage" fieldPosition="2"/>
    </format>
    <format dxfId="223">
      <pivotArea dataOnly="0" labelOnly="1" outline="0" fieldPosition="0">
        <references count="1">
          <reference field="3" count="0"/>
        </references>
      </pivotArea>
    </format>
    <format dxfId="222">
      <pivotArea dataOnly="0" labelOnly="1" outline="0" fieldPosition="0">
        <references count="1">
          <reference field="9" count="0"/>
        </references>
      </pivotArea>
    </format>
    <format dxfId="221">
      <pivotArea field="-2" type="button" dataOnly="0" labelOnly="1" outline="0" axis="axisCol" fieldPosition="0"/>
    </format>
    <format dxfId="2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9">
      <pivotArea type="all" dataOnly="0" outline="0" fieldPosition="0"/>
    </format>
    <format dxfId="218">
      <pivotArea type="all" dataOnly="0" outline="0" fieldPosition="0"/>
    </format>
    <format dxfId="217">
      <pivotArea field="13" type="button" dataOnly="0" labelOnly="1" outline="0" axis="axisPage" fieldPosition="0"/>
    </format>
    <format dxfId="216">
      <pivotArea field="13" type="button" dataOnly="0" labelOnly="1" outline="0" axis="axisPage" fieldPosition="0"/>
    </format>
    <format dxfId="21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14">
      <pivotArea dataOnly="0" labelOnly="1" fieldPosition="0">
        <references count="1">
          <reference field="2" count="0"/>
        </references>
      </pivotArea>
    </format>
    <format dxfId="213">
      <pivotArea dataOnly="0" labelOnly="1" grandRow="1" outline="0" fieldPosition="0"/>
    </format>
    <format dxfId="212">
      <pivotArea field="-2" type="button" dataOnly="0" labelOnly="1" outline="0" axis="axisCol" fieldPosition="0"/>
    </format>
    <format dxfId="211">
      <pivotArea type="topRight" dataOnly="0" labelOnly="1" outline="0" fieldPosition="0"/>
    </format>
    <format dxfId="21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09">
      <pivotArea field="14" type="button" dataOnly="0" labelOnly="1" outline="0" axis="axisPage" fieldPosition="3"/>
    </format>
    <format dxfId="208">
      <pivotArea field="14" type="button" dataOnly="0" labelOnly="1" outline="0" axis="axisPage" fieldPosition="3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0.xml><?xml version="1.0" encoding="utf-8"?>
<pivotTableDefinition xmlns="http://schemas.openxmlformats.org/spreadsheetml/2006/main" name="ptIOEDRP" cacheId="5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AC7:AH19" firstHeaderRow="1" firstDataRow="2" firstDataCol="1" rowPageCount="4" colPageCount="1"/>
  <pivotFields count="16"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25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5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0">
      <pivotArea type="topRight" dataOnly="0" labelOnly="1" outline="0" fieldPosition="0"/>
    </format>
    <format dxfId="24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48">
      <pivotArea dataOnly="0" labelOnly="1" outline="0" fieldPosition="0">
        <references count="1">
          <reference field="3" count="0"/>
        </references>
      </pivotArea>
    </format>
    <format dxfId="247">
      <pivotArea dataOnly="0" labelOnly="1" outline="0" fieldPosition="0">
        <references count="1">
          <reference field="9" count="0"/>
        </references>
      </pivotArea>
    </format>
    <format dxfId="246">
      <pivotArea field="-2" type="button" dataOnly="0" labelOnly="1" outline="0" axis="axisCol" fieldPosition="0"/>
    </format>
    <format dxfId="24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44">
      <pivotArea type="all" dataOnly="0" outline="0" fieldPosition="0"/>
    </format>
    <format dxfId="243">
      <pivotArea type="all" dataOnly="0" outline="0" fieldPosition="0"/>
    </format>
    <format dxfId="242">
      <pivotArea field="3" type="button" dataOnly="0" labelOnly="1" outline="0" axis="axisPage" fieldPosition="1"/>
    </format>
    <format dxfId="241">
      <pivotArea field="9" type="button" dataOnly="0" labelOnly="1" outline="0" axis="axisPage" fieldPosition="2"/>
    </format>
    <format dxfId="240">
      <pivotArea field="13" type="button" dataOnly="0" labelOnly="1" outline="0" axis="axisPage" fieldPosition="0"/>
    </format>
    <format dxfId="239">
      <pivotArea field="13" type="button" dataOnly="0" labelOnly="1" outline="0" axis="axisPage" fieldPosition="0"/>
    </format>
    <format dxfId="23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37">
      <pivotArea dataOnly="0" labelOnly="1" fieldPosition="0">
        <references count="1">
          <reference field="0" count="0"/>
        </references>
      </pivotArea>
    </format>
    <format dxfId="236">
      <pivotArea dataOnly="0" labelOnly="1" grandRow="1" outline="0" fieldPosition="0"/>
    </format>
    <format dxfId="235">
      <pivotArea field="-2" type="button" dataOnly="0" labelOnly="1" outline="0" axis="axisCol" fieldPosition="0"/>
    </format>
    <format dxfId="234">
      <pivotArea type="topRight" dataOnly="0" labelOnly="1" outline="0" fieldPosition="0"/>
    </format>
    <format dxfId="2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32">
      <pivotArea field="15" type="button" dataOnly="0" labelOnly="1" outline="0" axis="axisPage" fieldPosition="3"/>
    </format>
    <format dxfId="231">
      <pivotArea field="15" type="button" dataOnly="0" labelOnly="1" outline="0" axis="axisPage" fieldPosition="3"/>
    </format>
    <format dxfId="23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1.xml><?xml version="1.0" encoding="utf-8"?>
<pivotTableDefinition xmlns="http://schemas.openxmlformats.org/spreadsheetml/2006/main" name="ptPD" cacheId="0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Product  Distribution" colHeaderCaption="LTV Pass No" fieldListSortAscending="1">
  <location ref="BS7:BX25" firstHeaderRow="1" firstDataRow="2" firstDataCol="1" rowPageCount="4" colPageCount="1"/>
  <pivotFields count="15">
    <pivotField axis="axisRow" allDrilled="1" showAll="0" dataSourceSor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2">
    <format dxfId="27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7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2">
      <pivotArea type="topRight" dataOnly="0" labelOnly="1" outline="0" fieldPosition="0"/>
    </format>
    <format dxfId="27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70">
      <pivotArea dataOnly="0" labelOnly="1" outline="0" fieldPosition="0">
        <references count="1">
          <reference field="3" count="0"/>
        </references>
      </pivotArea>
    </format>
    <format dxfId="269">
      <pivotArea dataOnly="0" labelOnly="1" outline="0" fieldPosition="0">
        <references count="1">
          <reference field="9" count="0"/>
        </references>
      </pivotArea>
    </format>
    <format dxfId="268">
      <pivotArea field="-2" type="button" dataOnly="0" labelOnly="1" outline="0" axis="axisCol" fieldPosition="0"/>
    </format>
    <format dxfId="2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66">
      <pivotArea type="all" dataOnly="0" outline="0" fieldPosition="0"/>
    </format>
    <format dxfId="265">
      <pivotArea field="3" type="button" dataOnly="0" labelOnly="1" outline="0" axis="axisPage" fieldPosition="1"/>
    </format>
    <format dxfId="264">
      <pivotArea field="9" type="button" dataOnly="0" labelOnly="1" outline="0" axis="axisPage" fieldPosition="2"/>
    </format>
    <format dxfId="263">
      <pivotArea field="13" type="button" dataOnly="0" labelOnly="1" outline="0" axis="axisPage" fieldPosition="0"/>
    </format>
    <format dxfId="262">
      <pivotArea field="13" type="button" dataOnly="0" labelOnly="1" outline="0" axis="axisPage" fieldPosition="0"/>
    </format>
    <format dxfId="26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60">
      <pivotArea field="-2" type="button" dataOnly="0" labelOnly="1" outline="0" axis="axisCol" fieldPosition="0"/>
    </format>
    <format dxfId="259">
      <pivotArea type="topRight" dataOnly="0" labelOnly="1" outline="0" fieldPosition="0"/>
    </format>
    <format dxfId="25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57">
      <pivotArea dataOnly="0" labelOnly="1" fieldPosition="0">
        <references count="1">
          <reference field="0" count="0"/>
        </references>
      </pivotArea>
    </format>
    <format dxfId="256">
      <pivotArea dataOnly="0" labelOnly="1" grandRow="1" outline="0" fieldPosition="0"/>
    </format>
    <format dxfId="255">
      <pivotArea field="14" type="button" dataOnly="0" labelOnly="1" outline="0" axis="axisPage" fieldPosition="3"/>
    </format>
    <format dxfId="254">
      <pivotArea field="14" type="button" dataOnly="0" labelOnly="1" outline="0" axis="axisPage" fieldPosition="3"/>
    </format>
    <format dxfId="25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2.xml><?xml version="1.0" encoding="utf-8"?>
<pivotTableDefinition xmlns="http://schemas.openxmlformats.org/spreadsheetml/2006/main" name="ptFRRDBYM" cacheId="24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Fixed Rate Repricing Distribution by Year and Month" colHeaderCaption="LTV Pass No" fieldListSortAscending="1">
  <location ref="CN8:CS70" firstHeaderRow="1" firstDataRow="2" firstDataCol="1" rowPageCount="5" colPageCount="1"/>
  <pivotFields count="17">
    <pivotField allDrilled="1" showAll="0" dataSourceSort="1" defaultAttributeDrillState="1">
      <items count="2">
        <item s="1" x="0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4"/>
  </rowFields>
  <row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6" hier="0" name="[Consolidation LTV Pass].[LTV Pass No].&amp;[ECPass3]" cap="ECPass3"/>
    <pageField fld="15" hier="59" name="[Dimension Loan].[Interest Rate Type Desc].&amp;[FIXED]" cap="FIXED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4">
    <format dxfId="2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6">
      <pivotArea field="3" type="button" dataOnly="0" labelOnly="1" outline="0" axis="axisPage" fieldPosition="1"/>
    </format>
    <format dxfId="295">
      <pivotArea field="9" type="button" dataOnly="0" labelOnly="1" outline="0" axis="axisPage" fieldPosition="2"/>
    </format>
    <format dxfId="294">
      <pivotArea type="topRight" dataOnly="0" labelOnly="1" outline="0" fieldPosition="0"/>
    </format>
    <format dxfId="29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92">
      <pivotArea dataOnly="0" labelOnly="1" outline="0" fieldPosition="0">
        <references count="1">
          <reference field="3" count="0"/>
        </references>
      </pivotArea>
    </format>
    <format dxfId="291">
      <pivotArea dataOnly="0" labelOnly="1" outline="0" fieldPosition="0">
        <references count="1">
          <reference field="9" count="0"/>
        </references>
      </pivotArea>
    </format>
    <format dxfId="290">
      <pivotArea field="-2" type="button" dataOnly="0" labelOnly="1" outline="0" axis="axisCol" fieldPosition="0"/>
    </format>
    <format dxfId="28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8">
      <pivotArea type="all" dataOnly="0" outline="0" fieldPosition="0"/>
    </format>
    <format dxfId="287">
      <pivotArea field="13" type="button" dataOnly="0" labelOnly="1" outline="0" axis="axisPage" fieldPosition="0"/>
    </format>
    <format dxfId="286">
      <pivotArea field="13" type="button" dataOnly="0" labelOnly="1" outline="0" axis="axisPage" fieldPosition="0"/>
    </format>
    <format dxfId="285">
      <pivotArea field="15" type="button" dataOnly="0" labelOnly="1" outline="0" axis="axisPage" fieldPosition="4"/>
    </format>
    <format dxfId="28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3">
      <pivotArea dataOnly="0" labelOnly="1" fieldPosition="0">
        <references count="1">
          <reference field="1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82">
      <pivotArea dataOnly="0" labelOnly="1" fieldPosition="0">
        <references count="1">
          <reference field="14" count="10"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281">
      <pivotArea dataOnly="0" labelOnly="1" grandRow="1" outline="0" fieldPosition="0"/>
    </format>
    <format dxfId="280">
      <pivotArea field="-2" type="button" dataOnly="0" labelOnly="1" outline="0" axis="axisCol" fieldPosition="0"/>
    </format>
    <format dxfId="279">
      <pivotArea type="topRight" dataOnly="0" labelOnly="1" outline="0" fieldPosition="0"/>
    </format>
    <format dxfId="27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77">
      <pivotArea field="16" type="button" dataOnly="0" labelOnly="1" outline="0" axis="axisPage" fieldPosition="3"/>
    </format>
    <format dxfId="276">
      <pivotArea field="16" type="button" dataOnly="0" labelOnly="1" outline="0" axis="axisPage" fieldPosition="3"/>
    </format>
    <format dxfId="27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3.xml><?xml version="1.0" encoding="utf-8"?>
<pivotTableDefinition xmlns="http://schemas.openxmlformats.org/spreadsheetml/2006/main" name="ptCBD" cacheId="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compact="0" compactData="0" multipleFieldFilters="0" fieldListSortAscending="1">
  <location ref="A7:F47" firstHeaderRow="1" firstDataRow="2" firstDataCol="1" rowPageCount="4" colPageCount="1"/>
  <pivotFields count="16">
    <pivotField axis="axisRow" compact="0" allDrilled="1" outline="0" showAll="0" dataSourceSort="1" defaultAttributeDrillState="1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0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9" hier="98" name="[Dimension Pool].[Dim Reporting Date ID].&amp;[20120731]" cap="20120731"/>
    <pageField fld="3" hier="123" name="[Dimension Trust].[Dim Trust ID].&amp;[0]" cap="UNK"/>
    <pageField fld="10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5">
    <format dxfId="32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1">
      <pivotArea type="topRight" dataOnly="0" labelOnly="1" outline="0" fieldPosition="0"/>
    </format>
    <format dxfId="32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19">
      <pivotArea dataOnly="0" labelOnly="1" outline="0" fieldPosition="0">
        <references count="1">
          <reference field="3" count="0"/>
        </references>
      </pivotArea>
    </format>
    <format dxfId="318">
      <pivotArea field="-2" type="button" dataOnly="0" labelOnly="1" outline="0" axis="axisCol" fieldPosition="0"/>
    </format>
    <format dxfId="31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16">
      <pivotArea type="all" dataOnly="0" outline="0" fieldPosition="0"/>
    </format>
    <format dxfId="315">
      <pivotArea type="all" dataOnly="0" outline="0" fieldPosition="0"/>
    </format>
    <format dxfId="314">
      <pivotArea field="3" type="button" dataOnly="0" labelOnly="1" outline="0" axis="axisPage" fieldPosition="1"/>
    </format>
    <format dxfId="313">
      <pivotArea field="9" type="button" dataOnly="0" labelOnly="1" outline="0" axis="axisPage" fieldPosition="0"/>
    </format>
    <format dxfId="312">
      <pivotArea field="9" type="button" dataOnly="0" labelOnly="1" outline="0" axis="axisPage" fieldPosition="0"/>
    </format>
    <format dxfId="311">
      <pivotArea outline="0" collapsedLevelsAreSubtotals="1" fieldPosition="0">
        <references count="2">
          <reference field="4294967294" count="2" selected="0">
            <x v="0"/>
            <x v="1"/>
          </reference>
          <reference field="0" count="0" selected="0"/>
        </references>
      </pivotArea>
    </format>
    <format dxfId="310">
      <pivotArea field="0" grandRow="1" outline="0" collapsedLevelsAreSubtotals="1" axis="axisRow" fieldPosition="0">
        <references count="1">
          <reference field="4294967294" count="2" selected="0">
            <x v="0"/>
            <x v="1"/>
          </reference>
        </references>
      </pivotArea>
    </format>
    <format dxfId="309">
      <pivotArea dataOnly="0" labelOnly="1" outline="0" fieldPosition="0">
        <references count="1">
          <reference field="0" count="0"/>
        </references>
      </pivotArea>
    </format>
    <format dxfId="308">
      <pivotArea dataOnly="0" labelOnly="1" grandRow="1" outline="0" fieldPosition="0"/>
    </format>
    <format dxfId="307">
      <pivotArea type="origin" dataOnly="0" labelOnly="1" outline="0" fieldPosition="0"/>
    </format>
    <format dxfId="306">
      <pivotArea field="-2" type="button" dataOnly="0" labelOnly="1" outline="0" axis="axisCol" fieldPosition="0"/>
    </format>
    <format dxfId="305">
      <pivotArea type="topRight" dataOnly="0" labelOnly="1" outline="0" fieldPosition="0"/>
    </format>
    <format dxfId="30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03">
      <pivotArea field="0" type="button" dataOnly="0" labelOnly="1" outline="0" axis="axisRow" fieldPosition="0"/>
    </format>
    <format dxfId="302">
      <pivotArea field="10" type="button" dataOnly="0" labelOnly="1" outline="0" axis="axisPage" fieldPosition="2"/>
    </format>
    <format dxfId="301">
      <pivotArea field="15" type="button" dataOnly="0" labelOnly="1" outline="0" axis="axisPage" fieldPosition="3"/>
    </format>
    <format dxfId="300">
      <pivotArea field="15" type="button" dataOnly="0" labelOnly="1" outline="0" axis="axisPage" fieldPosition="3"/>
    </format>
    <format dxfId="29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1"/>
        <mp field="12"/>
        <mp field="13"/>
      </mps>
    </pivotHierarchy>
    <pivotHierarchy/>
    <pivotHierarchy/>
    <pivotHierarchy/>
    <pivotHierarchy/>
    <pivotHierarchy/>
    <pivotHierarchy/>
    <pivotHierarchy/>
    <pivotHierarchy/>
    <pivotHierarchy/>
    <pivotHierarchy caption="DimPoolID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4.xml><?xml version="1.0" encoding="utf-8"?>
<pivotTableDefinition xmlns="http://schemas.openxmlformats.org/spreadsheetml/2006/main" name="ptCBLTV" cacheId="15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compact="0" compactData="0" multipleFieldFilters="0" fieldListSortAscending="1">
  <location ref="H7:M28" firstHeaderRow="1" firstDataRow="2" firstDataCol="1" rowPageCount="4" colPageCount="1"/>
  <pivotFields count="16">
    <pivotField axis="axisRow" compact="0" allDrilled="1" outline="0" showAll="0" dataSourceSort="1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2">
        <item s="1" x="0"/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0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5">
    <format dxfId="348">
      <pivotArea type="topRight" dataOnly="0" labelOnly="1" outline="0" fieldPosition="0"/>
    </format>
    <format dxfId="34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46">
      <pivotArea dataOnly="0" labelOnly="1" outline="0" fieldPosition="0">
        <references count="1">
          <reference field="3" count="0"/>
        </references>
      </pivotArea>
    </format>
    <format dxfId="345">
      <pivotArea dataOnly="0" labelOnly="1" outline="0" fieldPosition="0">
        <references count="1">
          <reference field="9" count="0"/>
        </references>
      </pivotArea>
    </format>
    <format dxfId="344">
      <pivotArea field="-2" type="button" dataOnly="0" labelOnly="1" outline="0" axis="axisCol" fieldPosition="0"/>
    </format>
    <format dxfId="3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42">
      <pivotArea type="all" dataOnly="0" outline="0" fieldPosition="0"/>
    </format>
    <format dxfId="341">
      <pivotArea type="all" dataOnly="0" outline="0" fieldPosition="0"/>
    </format>
    <format dxfId="340">
      <pivotArea field="3" type="button" dataOnly="0" labelOnly="1" outline="0" axis="axisPage" fieldPosition="1"/>
    </format>
    <format dxfId="339">
      <pivotArea field="9" type="button" dataOnly="0" labelOnly="1" outline="0" axis="axisPage" fieldPosition="2"/>
    </format>
    <format dxfId="338">
      <pivotArea field="13" type="button" dataOnly="0" labelOnly="1" outline="0" axis="axisPage" fieldPosition="0"/>
    </format>
    <format dxfId="337">
      <pivotArea field="13" type="button" dataOnly="0" labelOnly="1" outline="0" axis="axisPage" fieldPosition="0"/>
    </format>
    <format dxfId="336">
      <pivotArea dataOnly="0" labelOnly="1" outline="0" fieldPosition="0">
        <references count="1">
          <reference field="0" count="0"/>
        </references>
      </pivotArea>
    </format>
    <format dxfId="335">
      <pivotArea dataOnly="0" labelOnly="1" grandRow="1" outline="0" fieldPosition="0"/>
    </format>
    <format dxfId="334">
      <pivotArea type="origin" dataOnly="0" labelOnly="1" outline="0" fieldPosition="0"/>
    </format>
    <format dxfId="333">
      <pivotArea field="-2" type="button" dataOnly="0" labelOnly="1" outline="0" axis="axisCol" fieldPosition="0"/>
    </format>
    <format dxfId="332">
      <pivotArea type="topRight" dataOnly="0" labelOnly="1" outline="0" fieldPosition="0"/>
    </format>
    <format dxfId="33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30">
      <pivotArea field="0" type="button" dataOnly="0" labelOnly="1" outline="0" axis="axisRow" fieldPosition="0"/>
    </format>
    <format dxfId="3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8">
      <pivotArea type="topRight" dataOnly="0" labelOnly="1" outline="0" fieldPosition="0"/>
    </format>
    <format dxfId="32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26">
      <pivotArea field="15" type="button" dataOnly="0" labelOnly="1" outline="0" axis="axisPage" fieldPosition="3"/>
    </format>
    <format dxfId="325">
      <pivotArea field="15" type="button" dataOnly="0" labelOnly="1" outline="0" axis="axisPage" fieldPosition="3"/>
    </format>
    <format dxfId="32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</pivotHierarchy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2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5.xml><?xml version="1.0" encoding="utf-8"?>
<pivotTableDefinition xmlns="http://schemas.openxmlformats.org/spreadsheetml/2006/main" name="ptMRD" cacheId="6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Current Rate Distribution" colHeaderCaption="LTV Pass No" fieldListSortAscending="1">
  <location ref="O7:T29" firstHeaderRow="1" firstDataRow="2" firstDataCol="1" rowPageCount="4" colPageCount="1"/>
  <pivotFields count="16">
    <pivotField axis="axisRow" allDrilled="1" showAll="0" dataSourceSort="1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37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69">
      <pivotArea type="topRight" dataOnly="0" labelOnly="1" outline="0" fieldPosition="0"/>
    </format>
    <format dxfId="36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67">
      <pivotArea dataOnly="0" labelOnly="1" outline="0" fieldPosition="0">
        <references count="1">
          <reference field="3" count="0"/>
        </references>
      </pivotArea>
    </format>
    <format dxfId="366">
      <pivotArea dataOnly="0" labelOnly="1" outline="0" fieldPosition="0">
        <references count="1">
          <reference field="9" count="0"/>
        </references>
      </pivotArea>
    </format>
    <format dxfId="365">
      <pivotArea field="-2" type="button" dataOnly="0" labelOnly="1" outline="0" axis="axisCol" fieldPosition="0"/>
    </format>
    <format dxfId="36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63">
      <pivotArea type="all" dataOnly="0" outline="0" fieldPosition="0"/>
    </format>
    <format dxfId="362">
      <pivotArea type="all" dataOnly="0" outline="0" fieldPosition="0"/>
    </format>
    <format dxfId="361">
      <pivotArea field="3" type="button" dataOnly="0" labelOnly="1" outline="0" axis="axisPage" fieldPosition="1"/>
    </format>
    <format dxfId="360">
      <pivotArea field="9" type="button" dataOnly="0" labelOnly="1" outline="0" axis="axisPage" fieldPosition="2"/>
    </format>
    <format dxfId="359">
      <pivotArea field="13" type="button" dataOnly="0" labelOnly="1" outline="0" axis="axisPage" fieldPosition="0"/>
    </format>
    <format dxfId="358">
      <pivotArea field="13" type="button" dataOnly="0" labelOnly="1" outline="0" axis="axisPage" fieldPosition="0"/>
    </format>
    <format dxfId="35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6">
      <pivotArea dataOnly="0" labelOnly="1" fieldPosition="0">
        <references count="1">
          <reference field="0" count="0"/>
        </references>
      </pivotArea>
    </format>
    <format dxfId="355">
      <pivotArea dataOnly="0" labelOnly="1" grandRow="1" outline="0" fieldPosition="0"/>
    </format>
    <format dxfId="354">
      <pivotArea field="-2" type="button" dataOnly="0" labelOnly="1" outline="0" axis="axisCol" fieldPosition="0"/>
    </format>
    <format dxfId="353">
      <pivotArea type="topRight" dataOnly="0" labelOnly="1" outline="0" fieldPosition="0"/>
    </format>
    <format dxfId="35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1">
      <pivotArea field="15" type="button" dataOnly="0" labelOnly="1" outline="0" axis="axisPage" fieldPosition="3"/>
    </format>
    <format dxfId="350">
      <pivotArea field="15" type="button" dataOnly="0" labelOnly="1" outline="0" axis="axisPage" fieldPosition="3"/>
    </format>
    <format dxfId="34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6.xml><?xml version="1.0" encoding="utf-8"?>
<pivotTableDefinition xmlns="http://schemas.openxmlformats.org/spreadsheetml/2006/main" name="ptMSOPBC" cacheId="3" applyNumberFormats="0" applyBorderFormats="0" applyFontFormats="0" applyPatternFormats="0" applyAlignmentFormats="0" applyWidthHeightFormats="1" dataCaption="Values" updatedVersion="4" minRefreshableVersion="3" subtotalHiddenItems="1" itemPrintTitles="1" createdVersion="4" indent="0" outline="1" outlineData="1" multipleFieldFilters="0" rowHeaderCaption="Occupancy Purpose Code" fieldListSortAscending="1">
  <location ref="AX53:BC58" firstHeaderRow="0" firstDataRow="1" firstDataCol="1" rowPageCount="4" colPageCount="1"/>
  <pivotFields count="14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8" hier="98" name="[Dimension Pool].[Dim Reporting Date ID].&amp;[20120731]" cap="20120731"/>
    <pageField fld="0" hier="123" name="[Dimension Trust].[Dim Trust ID].&amp;[0]" cap="UNK"/>
    <pageField fld="2" hier="99" name="[Dimension Pool].[DimPoolID].[All]" cap="All"/>
    <pageField fld="13" hier="130" name="[Main Security LTV Pass No].[LTV Pass No].&amp;[ECPass3]" cap="ECPass3"/>
  </pageFields>
  <dataFields count="5">
    <dataField name="No. Of Loans" fld="7" baseField="0" baseItem="0" numFmtId="3"/>
    <dataField fld="9" baseField="0" baseItem="0" numFmtId="164"/>
    <dataField fld="10" baseField="0" baseItem="0" numFmtId="164"/>
    <dataField fld="11" baseField="0" baseItem="0"/>
    <dataField fld="12" baseField="0" baseItem="0"/>
  </dataFields>
  <formats count="14">
    <format dxfId="385">
      <pivotArea field="0" type="button" dataOnly="0" labelOnly="1" outline="0" axis="axisPage" fieldPosition="1"/>
    </format>
    <format dxfId="384">
      <pivotArea field="2" type="button" dataOnly="0" labelOnly="1" outline="0" axis="axisPage" fieldPosition="2"/>
    </format>
    <format dxfId="383">
      <pivotArea field="8" type="button" dataOnly="0" labelOnly="1" outline="0" axis="axisPage" fieldPosition="0"/>
    </format>
    <format dxfId="382">
      <pivotArea type="all" dataOnly="0" outline="0" fieldPosition="0"/>
    </format>
    <format dxfId="38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8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76">
      <pivotArea dataOnly="0" labelOnly="1" fieldPosition="0">
        <references count="1">
          <reference field="6" count="0"/>
        </references>
      </pivotArea>
    </format>
    <format dxfId="375">
      <pivotArea dataOnly="0" labelOnly="1" grandRow="1" outline="0" fieldPosition="0"/>
    </format>
    <format dxfId="37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73">
      <pivotArea field="13" type="button" dataOnly="0" labelOnly="1" outline="0" axis="axisPage" fieldPosition="3"/>
    </format>
    <format dxfId="372">
      <pivotArea field="13" type="button" dataOnly="0" labelOnly="1" outline="0" axis="axisPage" fieldPosition="3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3"/>
        <mp field="4"/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27.xml><?xml version="1.0" encoding="utf-8"?>
<pivotTableDefinition xmlns="http://schemas.openxmlformats.org/spreadsheetml/2006/main" name="ptFRYOM" cacheId="2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Fixed Rate Year of Maturity" colHeaderCaption="LTV Pass No" fieldListSortAscending="1">
  <location ref="CG8:CL16" firstHeaderRow="1" firstDataRow="2" firstDataCol="1" rowPageCount="5" colPageCount="1"/>
  <pivotFields count="16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12" hier="99" name="[Dimension Pool].[Dim Reporting Date ID].&amp;[20120731]" cap="20120731"/>
    <pageField fld="2" hier="124" name="[Dimension Trust].[Dim Trust ID].&amp;[0]" cap="UNK"/>
    <pageField fld="8" hier="100" name="[Dimension Pool].[DimPoolID].[All]" cap="All"/>
    <pageField fld="15" hier="0" name="[Consolidation LTV Pass].[LTV Pass No].&amp;[ECPass3]" cap="ECPass3"/>
    <pageField fld="14" hier="59" name="[Dimension Loan].[Interest Rate Type Desc].&amp;[FIXED]" cap="FIXED"/>
  </pageFields>
  <dataFields count="5">
    <dataField name="No. Of Loans" fld="0" baseField="0" baseItem="0"/>
    <dataField fld="1" baseField="0" baseItem="0" numFmtId="164"/>
    <dataField fld="5" baseField="0" baseItem="0" numFmtId="164"/>
    <dataField fld="6" baseField="0" baseItem="0"/>
    <dataField fld="7" baseField="0" baseItem="0"/>
  </dataFields>
  <formats count="23">
    <format dxfId="40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06">
      <pivotArea type="topRight" dataOnly="0" labelOnly="1" outline="0" fieldPosition="0"/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dataOnly="0" labelOnly="1" outline="0" fieldPosition="0">
        <references count="1">
          <reference field="2" count="0"/>
        </references>
      </pivotArea>
    </format>
    <format dxfId="403">
      <pivotArea dataOnly="0" labelOnly="1" outline="0" fieldPosition="0">
        <references count="1">
          <reference field="8" count="0"/>
        </references>
      </pivotArea>
    </format>
    <format dxfId="402">
      <pivotArea field="-2" type="button" dataOnly="0" labelOnly="1" outline="0" axis="axisCol" fieldPosition="0"/>
    </format>
    <format dxfId="40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00">
      <pivotArea field="2" type="button" dataOnly="0" labelOnly="1" outline="0" axis="axisPage" fieldPosition="1"/>
    </format>
    <format dxfId="399">
      <pivotArea field="8" type="button" dataOnly="0" labelOnly="1" outline="0" axis="axisPage" fieldPosition="2"/>
    </format>
    <format dxfId="398">
      <pivotArea type="all" dataOnly="0" outline="0" fieldPosition="0"/>
    </format>
    <format dxfId="397">
      <pivotArea field="12" type="button" dataOnly="0" labelOnly="1" outline="0" axis="axisPage" fieldPosition="0"/>
    </format>
    <format dxfId="396">
      <pivotArea field="12" type="button" dataOnly="0" labelOnly="1" outline="0" axis="axisPage" fieldPosition="0"/>
    </format>
    <format dxfId="395">
      <pivotArea field="14" type="button" dataOnly="0" labelOnly="1" outline="0" axis="axisPage" fieldPosition="4"/>
    </format>
    <format dxfId="39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93">
      <pivotArea field="-2" type="button" dataOnly="0" labelOnly="1" outline="0" axis="axisCol" fieldPosition="0"/>
    </format>
    <format dxfId="392">
      <pivotArea type="topRight" dataOnly="0" labelOnly="1" outline="0" fieldPosition="0"/>
    </format>
    <format dxfId="39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90">
      <pivotArea dataOnly="0" labelOnly="1" fieldPosition="0">
        <references count="1">
          <reference field="13" count="0"/>
        </references>
      </pivotArea>
    </format>
    <format dxfId="389">
      <pivotArea dataOnly="0" labelOnly="1" grandRow="1" outline="0" fieldPosition="0"/>
    </format>
    <format dxfId="388">
      <pivotArea field="15" type="button" dataOnly="0" labelOnly="1" outline="0" axis="axisPage" fieldPosition="3"/>
    </format>
    <format dxfId="387">
      <pivotArea field="15" type="button" dataOnly="0" labelOnly="1" outline="0" axis="axisPage" fieldPosition="3"/>
    </format>
    <format dxfId="38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1" level="1">
        <member name="[Dimension Loan].[Interest Rate Type Desc].&amp;[FIXED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8.xml><?xml version="1.0" encoding="utf-8"?>
<pivotTableDefinition xmlns="http://schemas.openxmlformats.org/spreadsheetml/2006/main" name="ptRCD" cacheId="18" applyNumberFormats="0" applyBorderFormats="0" applyFontFormats="0" applyPatternFormats="0" applyAlignmentFormats="0" applyWidthHeightFormats="1" dataCaption="Values" missingCaption="-" updatedVersion="4" minRefreshableVersion="3" showCalcMbrs="0" subtotalHiddenItems="1" colGrandTotals="0" itemPrintTitles="1" createdVersion="3" indent="0" outline="1" outlineData="1" multipleFieldFilters="0" rowHeaderCaption="Payment Type" colHeaderCaption="LTV Pass No" fieldListSortAscending="1">
  <location ref="AX7:BC11" firstHeaderRow="1" firstDataRow="2" firstDataCol="1" rowPageCount="4" colPageCount="1"/>
  <pivotFields count="28">
    <pivotField allDrilled="1" showAll="0" dataSourceSort="1"/>
    <pivotField showAll="0" dataSourceSort="1"/>
    <pivotField showAll="0" dataSourceSort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3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26" hier="98" name="[Dimension Pool].[Dim Reporting Date ID].&amp;[20120731]" cap="20120731"/>
    <pageField fld="16" hier="123" name="[Dimension Trust].[Dim Trust ID].&amp;[0]" cap="UNK"/>
    <pageField fld="22" hier="99" name="[Dimension Pool].[DimPoolID].[All]" cap="All"/>
    <pageField fld="27" hier="0" name="[Consolidation LTV Pass].[LTV Pass No].&amp;[ECPass3]" cap="ECPass3"/>
  </pageFields>
  <dataFields count="5">
    <dataField name="No. Of Loans" fld="14" baseField="0" baseItem="0"/>
    <dataField fld="15" baseField="0" baseItem="0" numFmtId="164"/>
    <dataField fld="19" baseField="0" baseItem="0"/>
    <dataField fld="20" baseField="0" baseItem="0"/>
    <dataField fld="21" baseField="0" baseItem="0"/>
  </dataFields>
  <formats count="23">
    <format dxfId="43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8">
      <pivotArea field="16" type="button" dataOnly="0" labelOnly="1" outline="0" axis="axisPage" fieldPosition="1"/>
    </format>
    <format dxfId="427">
      <pivotArea field="22" type="button" dataOnly="0" labelOnly="1" outline="0" axis="axisPage" fieldPosition="2"/>
    </format>
    <format dxfId="426">
      <pivotArea type="topRight" dataOnly="0" labelOnly="1" outline="0" fieldPosition="0"/>
    </format>
    <format dxfId="42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24">
      <pivotArea dataOnly="0" labelOnly="1" outline="0" fieldPosition="0">
        <references count="1">
          <reference field="16" count="0"/>
        </references>
      </pivotArea>
    </format>
    <format dxfId="423">
      <pivotArea dataOnly="0" labelOnly="1" outline="0" fieldPosition="0">
        <references count="1">
          <reference field="22" count="0"/>
        </references>
      </pivotArea>
    </format>
    <format dxfId="422">
      <pivotArea field="-2" type="button" dataOnly="0" labelOnly="1" outline="0" axis="axisCol" fieldPosition="0"/>
    </format>
    <format dxfId="42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20">
      <pivotArea type="all" dataOnly="0" outline="0" fieldPosition="0"/>
    </format>
    <format dxfId="419">
      <pivotArea type="all" dataOnly="0" outline="0" fieldPosition="0"/>
    </format>
    <format dxfId="418">
      <pivotArea field="26" type="button" dataOnly="0" labelOnly="1" outline="0" axis="axisPage" fieldPosition="0"/>
    </format>
    <format dxfId="417">
      <pivotArea field="26" type="button" dataOnly="0" labelOnly="1" outline="0" axis="axisPage" fieldPosition="0"/>
    </format>
    <format dxfId="41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15">
      <pivotArea dataOnly="0" labelOnly="1" fieldPosition="0">
        <references count="1">
          <reference field="13" count="0"/>
        </references>
      </pivotArea>
    </format>
    <format dxfId="414">
      <pivotArea dataOnly="0" labelOnly="1" grandRow="1" outline="0" fieldPosition="0"/>
    </format>
    <format dxfId="413">
      <pivotArea field="-2" type="button" dataOnly="0" labelOnly="1" outline="0" axis="axisCol" fieldPosition="0"/>
    </format>
    <format dxfId="412">
      <pivotArea type="topRight" dataOnly="0" labelOnly="1" outline="0" fieldPosition="0"/>
    </format>
    <format dxfId="41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10">
      <pivotArea field="27" type="button" dataOnly="0" labelOnly="1" outline="0" axis="axisPage" fieldPosition="3"/>
    </format>
    <format dxfId="409">
      <pivotArea field="27" type="button" dataOnly="0" labelOnly="1" outline="0" axis="axisPage" fieldPosition="3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0">
        <mp field="3"/>
        <mp field="4"/>
        <mp field="5"/>
        <mp field="6"/>
        <mp field="7"/>
        <mp field="8"/>
        <mp field="9"/>
        <mp field="10"/>
        <mp field="11"/>
        <mp field="12"/>
      </mps>
      <members count="1" level="1">
        <member name="[Dimension Main Static Security].[Geography].[Country Code].&amp;[AUS]"/>
      </members>
    </pivotHierarchy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23"/>
        <mp field="24"/>
        <mp field="2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17"/>
        <mp field="18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9.xml><?xml version="1.0" encoding="utf-8"?>
<pivotTableDefinition xmlns="http://schemas.openxmlformats.org/spreadsheetml/2006/main" name="ptCBLLTVD" cacheId="1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AJ7:AO32" firstHeaderRow="1" firstDataRow="2" firstDataCol="1" rowPageCount="4" colPageCount="1"/>
  <pivotFields count="16">
    <pivotField axis="axisRow" allDrilled="1" showAll="0" dataSourceSort="1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45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52">
      <pivotArea type="topRight" dataOnly="0" labelOnly="1" outline="0" fieldPosition="0"/>
    </format>
    <format dxfId="45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50">
      <pivotArea dataOnly="0" labelOnly="1" outline="0" fieldPosition="0">
        <references count="1">
          <reference field="3" count="0"/>
        </references>
      </pivotArea>
    </format>
    <format dxfId="449">
      <pivotArea dataOnly="0" labelOnly="1" outline="0" fieldPosition="0">
        <references count="1">
          <reference field="9" count="0"/>
        </references>
      </pivotArea>
    </format>
    <format dxfId="448">
      <pivotArea field="-2" type="button" dataOnly="0" labelOnly="1" outline="0" axis="axisCol" fieldPosition="0"/>
    </format>
    <format dxfId="44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46">
      <pivotArea type="all" dataOnly="0" outline="0" fieldPosition="0"/>
    </format>
    <format dxfId="445">
      <pivotArea type="all" dataOnly="0" outline="0" fieldPosition="0"/>
    </format>
    <format dxfId="444">
      <pivotArea field="3" type="button" dataOnly="0" labelOnly="1" outline="0" axis="axisPage" fieldPosition="1"/>
    </format>
    <format dxfId="443">
      <pivotArea field="9" type="button" dataOnly="0" labelOnly="1" outline="0" axis="axisPage" fieldPosition="2"/>
    </format>
    <format dxfId="442">
      <pivotArea field="13" type="button" dataOnly="0" labelOnly="1" outline="0" axis="axisPage" fieldPosition="0"/>
    </format>
    <format dxfId="441">
      <pivotArea field="13" type="button" dataOnly="0" labelOnly="1" outline="0" axis="axisPage" fieldPosition="0"/>
    </format>
    <format dxfId="44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39">
      <pivotArea dataOnly="0" labelOnly="1" fieldPosition="0">
        <references count="1">
          <reference field="0" count="0"/>
        </references>
      </pivotArea>
    </format>
    <format dxfId="438">
      <pivotArea dataOnly="0" labelOnly="1" grandRow="1" outline="0" fieldPosition="0"/>
    </format>
    <format dxfId="437">
      <pivotArea field="-2" type="button" dataOnly="0" labelOnly="1" outline="0" axis="axisCol" fieldPosition="0"/>
    </format>
    <format dxfId="436">
      <pivotArea type="topRight" dataOnly="0" labelOnly="1" outline="0" fieldPosition="0"/>
    </format>
    <format dxfId="43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34">
      <pivotArea field="15" type="button" dataOnly="0" labelOnly="1" outline="0" axis="axisPage" fieldPosition="3"/>
    </format>
    <format dxfId="433">
      <pivotArea field="15" type="button" dataOnly="0" labelOnly="1" outline="0" axis="axisPage" fieldPosition="3"/>
    </format>
    <format dxfId="43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0.xml><?xml version="1.0" encoding="utf-8"?>
<pivotTableDefinition xmlns="http://schemas.openxmlformats.org/spreadsheetml/2006/main" name="ptRYOM" cacheId="23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Remaining Year of Maturity" colHeaderCaption="LTV Pass No" fieldListSortAscending="1">
  <location ref="BZ7:CE39" firstHeaderRow="1" firstDataRow="2" firstDataCol="1" rowPageCount="4" colPageCount="1"/>
  <pivotFields count="16">
    <pivotField allDrilled="1" showAll="0" dataSourceSort="1" defaultAttributeDrillState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4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2">
    <format dxfId="47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7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74">
      <pivotArea field="3" type="button" dataOnly="0" labelOnly="1" outline="0" axis="axisPage" fieldPosition="1"/>
    </format>
    <format dxfId="473">
      <pivotArea field="9" type="button" dataOnly="0" labelOnly="1" outline="0" axis="axisPage" fieldPosition="2"/>
    </format>
    <format dxfId="472">
      <pivotArea type="topRight" dataOnly="0" labelOnly="1" outline="0" fieldPosition="0"/>
    </format>
    <format dxfId="47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70">
      <pivotArea dataOnly="0" labelOnly="1" outline="0" fieldPosition="0">
        <references count="1">
          <reference field="3" count="0"/>
        </references>
      </pivotArea>
    </format>
    <format dxfId="469">
      <pivotArea dataOnly="0" labelOnly="1" outline="0" fieldPosition="0">
        <references count="1">
          <reference field="9" count="0"/>
        </references>
      </pivotArea>
    </format>
    <format dxfId="468">
      <pivotArea field="-2" type="button" dataOnly="0" labelOnly="1" outline="0" axis="axisCol" fieldPosition="0"/>
    </format>
    <format dxfId="4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66">
      <pivotArea type="all" dataOnly="0" outline="0" fieldPosition="0"/>
    </format>
    <format dxfId="465">
      <pivotArea field="13" type="button" dataOnly="0" labelOnly="1" outline="0" axis="axisPage" fieldPosition="0"/>
    </format>
    <format dxfId="464">
      <pivotArea field="13" type="button" dataOnly="0" labelOnly="1" outline="0" axis="axisPage" fieldPosition="0"/>
    </format>
    <format dxfId="46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62">
      <pivotArea dataOnly="0" labelOnly="1" fieldPosition="0">
        <references count="1">
          <reference field="14" count="0"/>
        </references>
      </pivotArea>
    </format>
    <format dxfId="461">
      <pivotArea dataOnly="0" labelOnly="1" grandRow="1" outline="0" fieldPosition="0"/>
    </format>
    <format dxfId="460">
      <pivotArea field="-2" type="button" dataOnly="0" labelOnly="1" outline="0" axis="axisCol" fieldPosition="0"/>
    </format>
    <format dxfId="459">
      <pivotArea type="topRight" dataOnly="0" labelOnly="1" outline="0" fieldPosition="0"/>
    </format>
    <format dxfId="45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57">
      <pivotArea field="15" type="button" dataOnly="0" labelOnly="1" outline="0" axis="axisPage" fieldPosition="3"/>
    </format>
    <format dxfId="456">
      <pivotArea field="15" type="button" dataOnly="0" labelOnly="1" outline="0" axis="axisPage" fieldPosition="3"/>
    </format>
    <format dxfId="45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embers count="1" level="1">
        <member name="[Dim Loan Maturity Date].[Calendar Year].&amp;[189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1.xml><?xml version="1.0" encoding="utf-8"?>
<pivotTableDefinition xmlns="http://schemas.openxmlformats.org/spreadsheetml/2006/main" name="ptPTD" cacheId="21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Property Type" colHeaderCaption="LTV Pass No" fieldListSortAscending="1">
  <location ref="BE7:BJ27" firstHeaderRow="1" firstDataRow="2" firstDataCol="1" rowPageCount="4" colPageCount="1"/>
  <pivotFields count="15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11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0" hier="98" name="[Dimension Pool].[Dim Reporting Date ID].&amp;[20120731]" cap="20120731"/>
    <pageField fld="2" hier="123" name="[Dimension Trust].[Dim Trust ID].&amp;[0]" cap="UNK"/>
    <pageField fld="6" hier="99" name="[Dimension Pool].[DimPoolID].[All]" cap="All"/>
    <pageField fld="14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5" baseField="0" baseItem="0" numFmtId="164"/>
    <dataField fld="12" baseField="0" baseItem="0"/>
    <dataField fld="13" baseField="0" baseItem="0"/>
  </dataFields>
  <formats count="22">
    <format dxfId="4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96">
      <pivotArea type="topRight" dataOnly="0" labelOnly="1" outline="0" fieldPosition="0"/>
    </format>
    <format dxfId="49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94">
      <pivotArea dataOnly="0" labelOnly="1" outline="0" fieldPosition="0">
        <references count="1">
          <reference field="2" count="0"/>
        </references>
      </pivotArea>
    </format>
    <format dxfId="493">
      <pivotArea dataOnly="0" labelOnly="1" outline="0" fieldPosition="0">
        <references count="1">
          <reference field="6" count="0"/>
        </references>
      </pivotArea>
    </format>
    <format dxfId="492">
      <pivotArea field="-2" type="button" dataOnly="0" labelOnly="1" outline="0" axis="axisCol" fieldPosition="0"/>
    </format>
    <format dxfId="49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90">
      <pivotArea type="all" dataOnly="0" outline="0" fieldPosition="0"/>
    </format>
    <format dxfId="489">
      <pivotArea field="2" type="button" dataOnly="0" labelOnly="1" outline="0" axis="axisPage" fieldPosition="1"/>
    </format>
    <format dxfId="488">
      <pivotArea field="6" type="button" dataOnly="0" labelOnly="1" outline="0" axis="axisPage" fieldPosition="2"/>
    </format>
    <format dxfId="487">
      <pivotArea type="all" dataOnly="0" outline="0" fieldPosition="0"/>
    </format>
    <format dxfId="486">
      <pivotArea field="10" type="button" dataOnly="0" labelOnly="1" outline="0" axis="axisPage" fieldPosition="0"/>
    </format>
    <format dxfId="485">
      <pivotArea field="10" type="button" dataOnly="0" labelOnly="1" outline="0" axis="axisPage" fieldPosition="0"/>
    </format>
    <format dxfId="48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83">
      <pivotArea dataOnly="0" labelOnly="1" grandRow="1" outline="0" fieldPosition="0"/>
    </format>
    <format dxfId="482">
      <pivotArea field="-2" type="button" dataOnly="0" labelOnly="1" outline="0" axis="axisCol" fieldPosition="0"/>
    </format>
    <format dxfId="481">
      <pivotArea type="topRight" dataOnly="0" labelOnly="1" outline="0" fieldPosition="0"/>
    </format>
    <format dxfId="4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9">
      <pivotArea field="14" type="button" dataOnly="0" labelOnly="1" outline="0" axis="axisPage" fieldPosition="3"/>
    </format>
    <format dxfId="478">
      <pivotArea field="14" type="button" dataOnly="0" labelOnly="1" outline="0" axis="axisPage" fieldPosition="3"/>
    </format>
    <format dxfId="47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7"/>
        <mp field="8"/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8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2.xml><?xml version="1.0" encoding="utf-8"?>
<pivotTableDefinition xmlns="http://schemas.openxmlformats.org/spreadsheetml/2006/main" name="ptReportsDT" cacheId="29" applyNumberFormats="0" applyBorderFormats="0" applyFontFormats="0" applyPatternFormats="0" applyAlignmentFormats="0" applyWidthHeightFormats="1" dataCaption="Values" updatedVersion="4" minRefreshableVersion="3" showCalcMbrs="0" colGrandTotals="0" itemPrintTitles="1" createdVersion="3" indent="0" compact="0" compactData="0" gridDropZones="1" multipleFieldFilters="0" colHeaderCaption="LTV PassNo" fieldListSortAscending="1">
  <location ref="A1:C15" firstHeaderRow="1" firstDataRow="2" firstDataCol="2"/>
  <pivotFields count="7">
    <pivotField axis="axisRow" compact="0" allDrilled="1" outline="0" showAll="0" dataSourceSort="1" defaultSubtotal="0" defaultAttributeDrillState="1">
      <items count="1">
        <item x="0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Row" compact="0" allDrilled="1" outline="0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howAll="0"/>
    <pivotField axis="axisCol" compact="0" allDrilled="1" outline="0" showAll="0" dataSourceSort="1" defaultAttributeDrillState="1">
      <items count="2">
        <item s="1" x="0"/>
        <item t="default"/>
      </items>
    </pivotField>
  </pivotFields>
  <rowFields count="2">
    <field x="0"/>
    <field x="4"/>
  </rowFields>
  <rowItems count="13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6"/>
  </colFields>
  <colItems count="1">
    <i>
      <x/>
    </i>
  </colItems>
  <dataFields count="1">
    <dataField name="Details Report" fld="5" baseField="0" baseItem="0"/>
  </dataFields>
  <formats count="4">
    <format dxfId="3">
      <pivotArea type="all" dataOnly="0" outline="0" fieldPosition="0"/>
    </format>
    <format dxfId="2">
      <pivotArea dataOnly="0" labelOnly="1" outline="0" fieldPosition="0">
        <references count="1">
          <reference field="0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2">
          <reference field="0" count="0" selected="0"/>
          <reference field="4" count="0"/>
        </references>
      </pivotArea>
    </format>
  </formats>
  <pivotHierarchies count="223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Details Repor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00"/>
    <rowHierarchyUsage hierarchyUsage="50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2.xml"/><Relationship Id="rId50" Type="http://schemas.openxmlformats.org/officeDocument/2006/relationships/image" Target="../media/image23.emf"/><Relationship Id="rId55" Type="http://schemas.openxmlformats.org/officeDocument/2006/relationships/control" Target="../activeX/activeX26.xml"/><Relationship Id="rId63" Type="http://schemas.openxmlformats.org/officeDocument/2006/relationships/control" Target="../activeX/activeX30.xml"/><Relationship Id="rId68" Type="http://schemas.openxmlformats.org/officeDocument/2006/relationships/image" Target="../media/image32.emf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9" Type="http://schemas.openxmlformats.org/officeDocument/2006/relationships/control" Target="../activeX/activeX13.xml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53" Type="http://schemas.openxmlformats.org/officeDocument/2006/relationships/control" Target="../activeX/activeX25.xml"/><Relationship Id="rId58" Type="http://schemas.openxmlformats.org/officeDocument/2006/relationships/image" Target="../media/image27.emf"/><Relationship Id="rId66" Type="http://schemas.openxmlformats.org/officeDocument/2006/relationships/image" Target="../media/image31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3.xml"/><Relationship Id="rId57" Type="http://schemas.openxmlformats.org/officeDocument/2006/relationships/control" Target="../activeX/activeX27.xml"/><Relationship Id="rId61" Type="http://schemas.openxmlformats.org/officeDocument/2006/relationships/control" Target="../activeX/activeX29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1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3.xml"/><Relationship Id="rId8" Type="http://schemas.openxmlformats.org/officeDocument/2006/relationships/image" Target="../media/image2.emf"/><Relationship Id="rId51" Type="http://schemas.openxmlformats.org/officeDocument/2006/relationships/control" Target="../activeX/activeX24.xml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8.xml"/><Relationship Id="rId67" Type="http://schemas.openxmlformats.org/officeDocument/2006/relationships/control" Target="../activeX/activeX32.xml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7.xml"/><Relationship Id="rId13" Type="http://schemas.openxmlformats.org/officeDocument/2006/relationships/pivotTable" Target="../pivotTables/pivotTable22.xml"/><Relationship Id="rId18" Type="http://schemas.openxmlformats.org/officeDocument/2006/relationships/pivotTable" Target="../pivotTables/pivotTable27.xml"/><Relationship Id="rId3" Type="http://schemas.openxmlformats.org/officeDocument/2006/relationships/pivotTable" Target="../pivotTables/pivotTable12.xml"/><Relationship Id="rId21" Type="http://schemas.openxmlformats.org/officeDocument/2006/relationships/pivotTable" Target="../pivotTables/pivotTable30.xml"/><Relationship Id="rId7" Type="http://schemas.openxmlformats.org/officeDocument/2006/relationships/pivotTable" Target="../pivotTables/pivotTable16.xml"/><Relationship Id="rId12" Type="http://schemas.openxmlformats.org/officeDocument/2006/relationships/pivotTable" Target="../pivotTables/pivotTable21.xml"/><Relationship Id="rId17" Type="http://schemas.openxmlformats.org/officeDocument/2006/relationships/pivotTable" Target="../pivotTables/pivotTable26.xml"/><Relationship Id="rId2" Type="http://schemas.openxmlformats.org/officeDocument/2006/relationships/pivotTable" Target="../pivotTables/pivotTable11.xml"/><Relationship Id="rId16" Type="http://schemas.openxmlformats.org/officeDocument/2006/relationships/pivotTable" Target="../pivotTables/pivotTable25.xml"/><Relationship Id="rId20" Type="http://schemas.openxmlformats.org/officeDocument/2006/relationships/pivotTable" Target="../pivotTables/pivotTable29.xml"/><Relationship Id="rId1" Type="http://schemas.openxmlformats.org/officeDocument/2006/relationships/pivotTable" Target="../pivotTables/pivotTable10.xml"/><Relationship Id="rId6" Type="http://schemas.openxmlformats.org/officeDocument/2006/relationships/pivotTable" Target="../pivotTables/pivotTable15.xml"/><Relationship Id="rId11" Type="http://schemas.openxmlformats.org/officeDocument/2006/relationships/pivotTable" Target="../pivotTables/pivotTable20.xml"/><Relationship Id="rId5" Type="http://schemas.openxmlformats.org/officeDocument/2006/relationships/pivotTable" Target="../pivotTables/pivotTable14.xml"/><Relationship Id="rId15" Type="http://schemas.openxmlformats.org/officeDocument/2006/relationships/pivotTable" Target="../pivotTables/pivotTable24.xml"/><Relationship Id="rId23" Type="http://schemas.openxmlformats.org/officeDocument/2006/relationships/printerSettings" Target="../printerSettings/printerSettings4.bin"/><Relationship Id="rId10" Type="http://schemas.openxmlformats.org/officeDocument/2006/relationships/pivotTable" Target="../pivotTables/pivotTable19.xml"/><Relationship Id="rId19" Type="http://schemas.openxmlformats.org/officeDocument/2006/relationships/pivotTable" Target="../pivotTables/pivotTable28.xml"/><Relationship Id="rId4" Type="http://schemas.openxmlformats.org/officeDocument/2006/relationships/pivotTable" Target="../pivotTables/pivotTable13.xml"/><Relationship Id="rId9" Type="http://schemas.openxmlformats.org/officeDocument/2006/relationships/pivotTable" Target="../pivotTables/pivotTable18.xml"/><Relationship Id="rId14" Type="http://schemas.openxmlformats.org/officeDocument/2006/relationships/pivotTable" Target="../pivotTables/pivotTable23.xml"/><Relationship Id="rId22" Type="http://schemas.openxmlformats.org/officeDocument/2006/relationships/pivotTable" Target="../pivotTables/pivotTable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55"/>
  <sheetViews>
    <sheetView topLeftCell="A43" workbookViewId="0">
      <selection activeCell="E49" sqref="E49"/>
    </sheetView>
  </sheetViews>
  <sheetFormatPr defaultRowHeight="15" x14ac:dyDescent="0.25"/>
  <cols>
    <col min="1" max="1" width="37" customWidth="1"/>
    <col min="2" max="2" width="30.5703125" customWidth="1"/>
    <col min="3" max="3" width="29.28515625" customWidth="1"/>
    <col min="4" max="4" width="29.28515625" style="19" customWidth="1"/>
    <col min="5" max="5" width="14.85546875" customWidth="1"/>
    <col min="6" max="6" width="53.85546875" customWidth="1"/>
    <col min="7" max="7" width="19.85546875" customWidth="1"/>
    <col min="8" max="8" width="19.85546875" style="19" customWidth="1"/>
    <col min="9" max="9" width="13.42578125" customWidth="1"/>
  </cols>
  <sheetData>
    <row r="1" spans="1:8" s="2" customFormat="1" ht="60" customHeight="1" x14ac:dyDescent="0.25">
      <c r="C1" s="67" t="s">
        <v>303</v>
      </c>
      <c r="D1" s="68"/>
      <c r="E1" s="68"/>
      <c r="F1" s="68"/>
      <c r="H1" s="19"/>
    </row>
    <row r="2" spans="1:8" x14ac:dyDescent="0.25">
      <c r="A2" s="22" t="s">
        <v>45</v>
      </c>
      <c r="B2" s="45" t="s" vm="2">
        <v>301</v>
      </c>
      <c r="C2" s="69" t="s">
        <v>419</v>
      </c>
      <c r="D2" s="68"/>
      <c r="E2" s="68"/>
      <c r="F2" s="68"/>
    </row>
    <row r="3" spans="1:8" x14ac:dyDescent="0.25">
      <c r="A3" s="22" t="s">
        <v>46</v>
      </c>
      <c r="B3" s="45" t="s" vm="4">
        <v>489</v>
      </c>
      <c r="C3" s="69" t="s">
        <v>304</v>
      </c>
      <c r="D3" s="68"/>
      <c r="E3" s="68"/>
      <c r="F3" s="68"/>
    </row>
    <row r="4" spans="1:8" x14ac:dyDescent="0.25">
      <c r="A4" s="22" t="s">
        <v>47</v>
      </c>
      <c r="B4" s="45" t="s" vm="6">
        <v>500</v>
      </c>
      <c r="C4" s="69" t="s">
        <v>304</v>
      </c>
      <c r="D4" s="68"/>
      <c r="E4" s="68"/>
      <c r="F4" s="68"/>
    </row>
    <row r="5" spans="1:8" x14ac:dyDescent="0.25">
      <c r="A5" s="22" t="s">
        <v>19</v>
      </c>
      <c r="B5" s="45" t="s" vm="3">
        <v>18</v>
      </c>
      <c r="C5" s="69" t="s">
        <v>305</v>
      </c>
      <c r="D5" s="68"/>
      <c r="E5" s="68"/>
      <c r="F5" s="68"/>
    </row>
    <row r="6" spans="1:8" x14ac:dyDescent="0.25">
      <c r="C6" s="68"/>
      <c r="D6" s="68"/>
      <c r="E6" s="68"/>
      <c r="F6" s="68"/>
    </row>
    <row r="7" spans="1:8" x14ac:dyDescent="0.25">
      <c r="C7" s="70" t="s">
        <v>306</v>
      </c>
      <c r="D7" s="68"/>
      <c r="E7" s="68"/>
      <c r="F7" s="68"/>
    </row>
    <row r="8" spans="1:8" x14ac:dyDescent="0.25">
      <c r="C8" s="71" t="s">
        <v>391</v>
      </c>
      <c r="D8" s="68"/>
      <c r="E8" s="68"/>
      <c r="F8" s="68"/>
    </row>
    <row r="9" spans="1:8" ht="37.5" customHeight="1" x14ac:dyDescent="0.25">
      <c r="A9" s="35" t="s">
        <v>50</v>
      </c>
      <c r="B9" s="35" t="s">
        <v>51</v>
      </c>
      <c r="C9" s="36"/>
      <c r="D9" s="36"/>
      <c r="E9" s="36"/>
      <c r="F9" s="20"/>
    </row>
    <row r="10" spans="1:8" ht="39.950000000000003" customHeight="1" x14ac:dyDescent="0.25">
      <c r="A10" s="26" t="s">
        <v>52</v>
      </c>
      <c r="B10" s="26" t="s">
        <v>48</v>
      </c>
      <c r="E10" s="21" t="s">
        <v>49</v>
      </c>
    </row>
    <row r="11" spans="1:8" s="45" customFormat="1" ht="39.950000000000003" customHeight="1" x14ac:dyDescent="0.25">
      <c r="A11" s="26" t="s">
        <v>479</v>
      </c>
      <c r="B11" s="26" t="s">
        <v>480</v>
      </c>
      <c r="E11" s="21" t="s">
        <v>49</v>
      </c>
    </row>
    <row r="12" spans="1:8" s="19" customFormat="1" ht="20.100000000000001" customHeight="1" x14ac:dyDescent="0.25">
      <c r="A12" s="28" t="s">
        <v>85</v>
      </c>
      <c r="B12" s="42"/>
      <c r="C12" s="30"/>
      <c r="D12" s="30"/>
      <c r="E12" s="31"/>
    </row>
    <row r="13" spans="1:8" s="19" customFormat="1" ht="20.100000000000001" customHeight="1" x14ac:dyDescent="0.25">
      <c r="A13" s="28" t="s">
        <v>81</v>
      </c>
      <c r="B13" s="42"/>
      <c r="C13" s="30"/>
      <c r="D13" s="30"/>
      <c r="E13" s="31"/>
    </row>
    <row r="14" spans="1:8" s="19" customFormat="1" ht="39.950000000000003" customHeight="1" x14ac:dyDescent="0.25">
      <c r="A14" s="43" t="s">
        <v>32</v>
      </c>
      <c r="B14" s="26" t="s">
        <v>82</v>
      </c>
      <c r="E14" s="21" t="s">
        <v>49</v>
      </c>
    </row>
    <row r="15" spans="1:8" s="19" customFormat="1" ht="39.950000000000003" customHeight="1" x14ac:dyDescent="0.25">
      <c r="A15" s="43" t="s">
        <v>33</v>
      </c>
      <c r="B15" s="26" t="s">
        <v>83</v>
      </c>
      <c r="E15" s="21" t="s">
        <v>49</v>
      </c>
    </row>
    <row r="16" spans="1:8" s="19" customFormat="1" ht="39.950000000000003" customHeight="1" x14ac:dyDescent="0.25">
      <c r="A16" s="43" t="s">
        <v>34</v>
      </c>
      <c r="B16" s="26" t="s">
        <v>84</v>
      </c>
      <c r="E16" s="21" t="s">
        <v>49</v>
      </c>
    </row>
    <row r="17" spans="1:5" s="19" customFormat="1" ht="20.100000000000001" customHeight="1" x14ac:dyDescent="0.25">
      <c r="A17" s="34" t="s">
        <v>87</v>
      </c>
      <c r="B17" s="42"/>
      <c r="C17" s="30"/>
      <c r="D17" s="30"/>
      <c r="E17" s="31"/>
    </row>
    <row r="18" spans="1:5" s="19" customFormat="1" ht="39.950000000000003" customHeight="1" x14ac:dyDescent="0.25">
      <c r="A18" s="43" t="s">
        <v>88</v>
      </c>
      <c r="B18" s="26" t="s">
        <v>91</v>
      </c>
      <c r="E18" s="21" t="s">
        <v>49</v>
      </c>
    </row>
    <row r="19" spans="1:5" s="44" customFormat="1" ht="39.950000000000003" customHeight="1" x14ac:dyDescent="0.25">
      <c r="A19" s="43" t="s">
        <v>89</v>
      </c>
      <c r="B19" s="26" t="s">
        <v>92</v>
      </c>
      <c r="E19" s="21" t="s">
        <v>49</v>
      </c>
    </row>
    <row r="20" spans="1:5" s="44" customFormat="1" ht="39.950000000000003" customHeight="1" x14ac:dyDescent="0.25">
      <c r="A20" s="43" t="s">
        <v>90</v>
      </c>
      <c r="B20" s="26" t="s">
        <v>93</v>
      </c>
      <c r="E20" s="21" t="s">
        <v>49</v>
      </c>
    </row>
    <row r="21" spans="1:5" s="19" customFormat="1" ht="20.100000000000001" customHeight="1" x14ac:dyDescent="0.25">
      <c r="A21" s="34" t="s">
        <v>86</v>
      </c>
      <c r="B21" s="42"/>
      <c r="C21" s="30"/>
      <c r="D21" s="30"/>
      <c r="E21" s="31"/>
    </row>
    <row r="22" spans="1:5" s="19" customFormat="1" ht="20.100000000000001" customHeight="1" x14ac:dyDescent="0.25">
      <c r="A22" s="28" t="s">
        <v>69</v>
      </c>
      <c r="B22" s="29"/>
      <c r="C22" s="30"/>
      <c r="D22" s="30"/>
      <c r="E22" s="31"/>
    </row>
    <row r="23" spans="1:5" ht="39.950000000000003" customHeight="1" x14ac:dyDescent="0.25">
      <c r="A23" s="24" t="s">
        <v>2</v>
      </c>
      <c r="B23" s="23" t="s">
        <v>53</v>
      </c>
      <c r="E23" s="21" t="s">
        <v>49</v>
      </c>
    </row>
    <row r="24" spans="1:5" ht="39.950000000000003" customHeight="1" x14ac:dyDescent="0.25">
      <c r="A24" s="24" t="s">
        <v>1</v>
      </c>
      <c r="B24" s="23" t="s">
        <v>54</v>
      </c>
      <c r="E24" s="21" t="s">
        <v>49</v>
      </c>
    </row>
    <row r="25" spans="1:5" ht="39.950000000000003" customHeight="1" x14ac:dyDescent="0.25">
      <c r="A25" s="24" t="s">
        <v>11</v>
      </c>
      <c r="B25" s="23" t="s">
        <v>55</v>
      </c>
      <c r="E25" s="21" t="s">
        <v>49</v>
      </c>
    </row>
    <row r="26" spans="1:5" ht="39.950000000000003" customHeight="1" x14ac:dyDescent="0.25">
      <c r="A26" s="24" t="s">
        <v>3</v>
      </c>
      <c r="B26" s="23" t="s">
        <v>56</v>
      </c>
      <c r="E26" s="21" t="s">
        <v>49</v>
      </c>
    </row>
    <row r="27" spans="1:5" ht="39.950000000000003" customHeight="1" x14ac:dyDescent="0.25">
      <c r="A27" s="25" t="s">
        <v>17</v>
      </c>
      <c r="B27" s="23" t="s">
        <v>57</v>
      </c>
      <c r="E27" s="21" t="s">
        <v>49</v>
      </c>
    </row>
    <row r="28" spans="1:5" ht="39.950000000000003" customHeight="1" x14ac:dyDescent="0.25">
      <c r="A28" s="25" t="s">
        <v>15</v>
      </c>
      <c r="B28" s="23" t="s">
        <v>58</v>
      </c>
      <c r="E28" s="21" t="s">
        <v>49</v>
      </c>
    </row>
    <row r="29" spans="1:5" ht="39.950000000000003" customHeight="1" x14ac:dyDescent="0.25">
      <c r="A29" s="25" t="s">
        <v>12</v>
      </c>
      <c r="B29" s="23" t="s">
        <v>59</v>
      </c>
      <c r="E29" s="21" t="s">
        <v>49</v>
      </c>
    </row>
    <row r="30" spans="1:5" s="19" customFormat="1" ht="20.100000000000001" customHeight="1" x14ac:dyDescent="0.25">
      <c r="A30" s="32" t="s">
        <v>70</v>
      </c>
      <c r="B30" s="29"/>
      <c r="C30" s="30"/>
      <c r="D30" s="30"/>
      <c r="E30" s="30"/>
    </row>
    <row r="31" spans="1:5" ht="39.950000000000003" customHeight="1" x14ac:dyDescent="0.25">
      <c r="A31" s="25" t="s">
        <v>4</v>
      </c>
      <c r="B31" s="23" t="s">
        <v>60</v>
      </c>
      <c r="E31" s="21" t="s">
        <v>49</v>
      </c>
    </row>
    <row r="32" spans="1:5" ht="39.950000000000003" customHeight="1" x14ac:dyDescent="0.25">
      <c r="A32" s="24" t="s">
        <v>8</v>
      </c>
      <c r="B32" s="23" t="s">
        <v>61</v>
      </c>
      <c r="E32" s="21" t="s">
        <v>49</v>
      </c>
    </row>
    <row r="33" spans="1:5" ht="39.950000000000003" customHeight="1" x14ac:dyDescent="0.25">
      <c r="A33" s="25" t="s">
        <v>41</v>
      </c>
      <c r="B33" s="23" t="s">
        <v>62</v>
      </c>
      <c r="E33" s="21" t="s">
        <v>49</v>
      </c>
    </row>
    <row r="34" spans="1:5" ht="39.950000000000003" customHeight="1" x14ac:dyDescent="0.25">
      <c r="A34" s="25" t="s">
        <v>40</v>
      </c>
      <c r="B34" s="23" t="s">
        <v>63</v>
      </c>
      <c r="E34" s="21" t="s">
        <v>49</v>
      </c>
    </row>
    <row r="35" spans="1:5" ht="39.950000000000003" customHeight="1" x14ac:dyDescent="0.25">
      <c r="A35" s="24" t="s">
        <v>39</v>
      </c>
      <c r="B35" s="23" t="s">
        <v>64</v>
      </c>
      <c r="E35" s="21" t="s">
        <v>49</v>
      </c>
    </row>
    <row r="36" spans="1:5" ht="39.950000000000003" customHeight="1" x14ac:dyDescent="0.25">
      <c r="A36" s="24" t="s">
        <v>6</v>
      </c>
      <c r="B36" s="23" t="s">
        <v>65</v>
      </c>
      <c r="E36" s="21" t="s">
        <v>49</v>
      </c>
    </row>
    <row r="37" spans="1:5" s="19" customFormat="1" ht="20.100000000000001" customHeight="1" x14ac:dyDescent="0.25">
      <c r="A37" s="33" t="s">
        <v>71</v>
      </c>
      <c r="B37" s="29"/>
      <c r="C37" s="30"/>
      <c r="D37" s="30"/>
      <c r="E37" s="30"/>
    </row>
    <row r="38" spans="1:5" ht="39.950000000000003" customHeight="1" x14ac:dyDescent="0.25">
      <c r="A38" s="24" t="s">
        <v>5</v>
      </c>
      <c r="B38" s="23" t="s">
        <v>66</v>
      </c>
      <c r="E38" s="21" t="s">
        <v>49</v>
      </c>
    </row>
    <row r="39" spans="1:5" s="19" customFormat="1" ht="20.100000000000001" customHeight="1" x14ac:dyDescent="0.25">
      <c r="A39" s="33" t="s">
        <v>72</v>
      </c>
      <c r="B39" s="29"/>
      <c r="C39" s="30"/>
      <c r="D39" s="30"/>
      <c r="E39" s="29"/>
    </row>
    <row r="40" spans="1:5" ht="39.950000000000003" customHeight="1" x14ac:dyDescent="0.25">
      <c r="A40" s="26" t="s">
        <v>24</v>
      </c>
      <c r="B40" s="23" t="s">
        <v>67</v>
      </c>
      <c r="E40" s="21" t="s">
        <v>49</v>
      </c>
    </row>
    <row r="41" spans="1:5" ht="39.950000000000003" customHeight="1" x14ac:dyDescent="0.25">
      <c r="A41" s="26" t="s">
        <v>25</v>
      </c>
      <c r="B41" s="23" t="s">
        <v>68</v>
      </c>
      <c r="E41" s="21" t="s">
        <v>49</v>
      </c>
    </row>
    <row r="42" spans="1:5" ht="20.100000000000001" customHeight="1" x14ac:dyDescent="0.25">
      <c r="A42" s="34" t="s">
        <v>73</v>
      </c>
      <c r="B42" s="30"/>
      <c r="C42" s="30"/>
      <c r="D42" s="30"/>
      <c r="E42" s="29"/>
    </row>
    <row r="43" spans="1:5" ht="39.950000000000003" customHeight="1" x14ac:dyDescent="0.25">
      <c r="A43" s="27" t="s">
        <v>13</v>
      </c>
      <c r="B43" s="23" t="s">
        <v>74</v>
      </c>
      <c r="E43" s="21" t="s">
        <v>49</v>
      </c>
    </row>
    <row r="44" spans="1:5" ht="20.100000000000001" customHeight="1" x14ac:dyDescent="0.25">
      <c r="A44" s="28" t="s">
        <v>75</v>
      </c>
      <c r="B44" s="30"/>
      <c r="C44" s="30"/>
      <c r="D44" s="30"/>
      <c r="E44" s="29"/>
    </row>
    <row r="45" spans="1:5" ht="39.950000000000003" customHeight="1" x14ac:dyDescent="0.25">
      <c r="A45" s="38" t="s">
        <v>7</v>
      </c>
      <c r="B45" s="23" t="s">
        <v>76</v>
      </c>
      <c r="E45" s="21" t="s">
        <v>49</v>
      </c>
    </row>
    <row r="46" spans="1:5" s="45" customFormat="1" ht="39.950000000000003" customHeight="1" x14ac:dyDescent="0.25">
      <c r="A46" s="38" t="s">
        <v>519</v>
      </c>
      <c r="B46" s="23" t="s">
        <v>517</v>
      </c>
      <c r="E46" s="21" t="s">
        <v>49</v>
      </c>
    </row>
    <row r="47" spans="1:5" ht="20.100000000000001" customHeight="1" x14ac:dyDescent="0.25">
      <c r="A47" s="40" t="s">
        <v>77</v>
      </c>
      <c r="B47" s="29"/>
      <c r="C47" s="30"/>
      <c r="D47" s="30"/>
      <c r="E47" s="29"/>
    </row>
    <row r="48" spans="1:5" ht="39.950000000000003" customHeight="1" x14ac:dyDescent="0.25">
      <c r="A48" s="24" t="s">
        <v>10</v>
      </c>
      <c r="B48" s="23" t="s">
        <v>78</v>
      </c>
      <c r="E48" s="21" t="s">
        <v>49</v>
      </c>
    </row>
    <row r="49" spans="1:5" s="45" customFormat="1" ht="39.950000000000003" customHeight="1" x14ac:dyDescent="0.25">
      <c r="A49" s="24" t="s">
        <v>520</v>
      </c>
      <c r="B49" s="23" t="s">
        <v>518</v>
      </c>
      <c r="E49" s="21" t="s">
        <v>49</v>
      </c>
    </row>
    <row r="50" spans="1:5" ht="20.100000000000001" customHeight="1" x14ac:dyDescent="0.25">
      <c r="A50" s="41" t="s">
        <v>79</v>
      </c>
      <c r="B50" s="29"/>
      <c r="C50" s="30"/>
      <c r="D50" s="30"/>
      <c r="E50" s="29"/>
    </row>
    <row r="51" spans="1:5" ht="39.950000000000003" customHeight="1" x14ac:dyDescent="0.25">
      <c r="A51" s="39" t="s">
        <v>14</v>
      </c>
      <c r="B51" s="23" t="s">
        <v>80</v>
      </c>
      <c r="E51" s="21" t="s">
        <v>49</v>
      </c>
    </row>
    <row r="52" spans="1:5" ht="39.950000000000003" customHeight="1" x14ac:dyDescent="0.25">
      <c r="A52" s="28" t="s">
        <v>94</v>
      </c>
      <c r="B52" s="30"/>
      <c r="C52" s="30"/>
      <c r="D52" s="30"/>
      <c r="E52" s="30"/>
    </row>
    <row r="53" spans="1:5" ht="39.950000000000003" customHeight="1" x14ac:dyDescent="0.25">
      <c r="A53" s="23" t="s">
        <v>95</v>
      </c>
      <c r="B53" s="23" t="s">
        <v>96</v>
      </c>
      <c r="E53" s="21" t="s">
        <v>49</v>
      </c>
    </row>
    <row r="54" spans="1:5" ht="39.950000000000003" customHeight="1" x14ac:dyDescent="0.25"/>
    <row r="55" spans="1:5" ht="39.950000000000003" customHeight="1" x14ac:dyDescent="0.25"/>
  </sheetData>
  <hyperlinks>
    <hyperlink ref="E10" location="PoolStats!A1" display="Check"/>
    <hyperlink ref="E14" location="ALR!A1" display="Check"/>
    <hyperlink ref="E15" location="ALR!D1" display="Check"/>
    <hyperlink ref="E16" location="ALR!G1" display="Check"/>
    <hyperlink ref="E18" location="ALR!J1" display="Check"/>
    <hyperlink ref="E19" location="ALR!N1" display="Check"/>
    <hyperlink ref="E20" location="ALR!R1" display="Check"/>
    <hyperlink ref="E23" location="CUBE!A1" display="Check"/>
    <hyperlink ref="E24" location="CUBE!H1" display="Check"/>
    <hyperlink ref="E25" location="CUBE!O1" display="Check"/>
    <hyperlink ref="E26" location="CUBE!V1" display="Check"/>
    <hyperlink ref="E27" location="CUBE!AC1" display="Check"/>
    <hyperlink ref="E28" location="CUBE!AJ1" display="Check"/>
    <hyperlink ref="E29" location="CUBE!AQ1" display="Check"/>
    <hyperlink ref="E31" location="CUBE!AX1" display="Check"/>
    <hyperlink ref="E32" location="CUBE!AX15" display="Check"/>
    <hyperlink ref="E33" location="CUBE!AX30" display="Check"/>
    <hyperlink ref="E34" location="CUBE!AX47" display="Check"/>
    <hyperlink ref="E35" location="CUBE!AX63" display="Check"/>
    <hyperlink ref="E36" location="CUBE!AX77" display="Check"/>
    <hyperlink ref="E38" location="CUBE!BE1" display="Check"/>
    <hyperlink ref="E40" location="CUBE!BL1" display="Check"/>
    <hyperlink ref="E41" location="CUBE!BL41" display="Check"/>
    <hyperlink ref="E43" location="CUBE!BS1" display="Check"/>
    <hyperlink ref="E45" location="CUBE!BZ1" display="Check"/>
    <hyperlink ref="E48" location="CUBE!CG1" display="Check"/>
    <hyperlink ref="E51" location="CUBE!CN1" display="Check"/>
    <hyperlink ref="E53" location="Reports!A1" display="Check"/>
    <hyperlink ref="E11" location="PoolStats!A39" display="Check"/>
    <hyperlink ref="E46" location="CUBE!BZ48" display="Check"/>
    <hyperlink ref="E49" location="CUBE!CG48" display="Check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60" r:id="rId5" name="btnptFRERT">
          <controlPr disabled="1" autoLine="0" r:id="rId6">
            <anchor moveWithCells="1">
              <from>
                <xdr:col>2</xdr:col>
                <xdr:colOff>95250</xdr:colOff>
                <xdr:row>48</xdr:row>
                <xdr:rowOff>104775</xdr:rowOff>
              </from>
              <to>
                <xdr:col>2</xdr:col>
                <xdr:colOff>1819275</xdr:colOff>
                <xdr:row>48</xdr:row>
                <xdr:rowOff>419100</xdr:rowOff>
              </to>
            </anchor>
          </controlPr>
        </control>
      </mc:Choice>
      <mc:Fallback>
        <control shapeId="1060" r:id="rId5" name="btnptFRERT"/>
      </mc:Fallback>
    </mc:AlternateContent>
    <mc:AlternateContent xmlns:mc="http://schemas.openxmlformats.org/markup-compatibility/2006">
      <mc:Choice Requires="x14">
        <control shapeId="1059" r:id="rId7" name="btnptRTTM">
          <controlPr disabled="1" autoLine="0" r:id="rId8">
            <anchor moveWithCells="1">
              <from>
                <xdr:col>2</xdr:col>
                <xdr:colOff>95250</xdr:colOff>
                <xdr:row>45</xdr:row>
                <xdr:rowOff>104775</xdr:rowOff>
              </from>
              <to>
                <xdr:col>2</xdr:col>
                <xdr:colOff>1819275</xdr:colOff>
                <xdr:row>45</xdr:row>
                <xdr:rowOff>419100</xdr:rowOff>
              </to>
            </anchor>
          </controlPr>
        </control>
      </mc:Choice>
      <mc:Fallback>
        <control shapeId="1059" r:id="rId7" name="btnptRTTM"/>
      </mc:Fallback>
    </mc:AlternateContent>
    <mc:AlternateContent xmlns:mc="http://schemas.openxmlformats.org/markup-compatibility/2006">
      <mc:Choice Requires="x14">
        <control shapeId="1058" r:id="rId9" name="btnptPULBTSummary">
          <controlPr disabled="1" autoLine="0" r:id="rId10">
            <anchor moveWithCells="1">
              <from>
                <xdr:col>2</xdr:col>
                <xdr:colOff>95250</xdr:colOff>
                <xdr:row>10</xdr:row>
                <xdr:rowOff>104775</xdr:rowOff>
              </from>
              <to>
                <xdr:col>2</xdr:col>
                <xdr:colOff>1819275</xdr:colOff>
                <xdr:row>10</xdr:row>
                <xdr:rowOff>419100</xdr:rowOff>
              </to>
            </anchor>
          </controlPr>
        </control>
      </mc:Choice>
      <mc:Fallback>
        <control shapeId="1058" r:id="rId9" name="btnptPULBTSummary"/>
      </mc:Fallback>
    </mc:AlternateContent>
    <mc:AlternateContent xmlns:mc="http://schemas.openxmlformats.org/markup-compatibility/2006">
      <mc:Choice Requires="x14">
        <control shapeId="1025" r:id="rId11" name="btnFilter">
          <controlPr autoLine="0" r:id="rId12">
            <anchor moveWithCells="1"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2009775</xdr:colOff>
                <xdr:row>0</xdr:row>
                <xdr:rowOff>742950</xdr:rowOff>
              </to>
            </anchor>
          </controlPr>
        </control>
      </mc:Choice>
      <mc:Fallback>
        <control shapeId="1025" r:id="rId11" name="btnFilter"/>
      </mc:Fallback>
    </mc:AlternateContent>
    <mc:AlternateContent xmlns:mc="http://schemas.openxmlformats.org/markup-compatibility/2006">
      <mc:Choice Requires="x14">
        <control shapeId="1028" r:id="rId13" name="btnptSummary">
          <controlPr disabled="1" autoLine="0" r:id="rId14">
            <anchor moveWithCells="1">
              <from>
                <xdr:col>2</xdr:col>
                <xdr:colOff>95250</xdr:colOff>
                <xdr:row>9</xdr:row>
                <xdr:rowOff>104775</xdr:rowOff>
              </from>
              <to>
                <xdr:col>2</xdr:col>
                <xdr:colOff>1819275</xdr:colOff>
                <xdr:row>9</xdr:row>
                <xdr:rowOff>419100</xdr:rowOff>
              </to>
            </anchor>
          </controlPr>
        </control>
      </mc:Choice>
      <mc:Fallback>
        <control shapeId="1028" r:id="rId13" name="btnptSummary"/>
      </mc:Fallback>
    </mc:AlternateContent>
    <mc:AlternateContent xmlns:mc="http://schemas.openxmlformats.org/markup-compatibility/2006">
      <mc:Choice Requires="x14">
        <control shapeId="1029" r:id="rId15" name="btnptALRLS">
          <controlPr disabled="1" autoLine="0" r:id="rId16">
            <anchor moveWithCells="1">
              <from>
                <xdr:col>2</xdr:col>
                <xdr:colOff>95250</xdr:colOff>
                <xdr:row>13</xdr:row>
                <xdr:rowOff>104775</xdr:rowOff>
              </from>
              <to>
                <xdr:col>2</xdr:col>
                <xdr:colOff>1819275</xdr:colOff>
                <xdr:row>13</xdr:row>
                <xdr:rowOff>419100</xdr:rowOff>
              </to>
            </anchor>
          </controlPr>
        </control>
      </mc:Choice>
      <mc:Fallback>
        <control shapeId="1029" r:id="rId15" name="btnptALRLS"/>
      </mc:Fallback>
    </mc:AlternateContent>
    <mc:AlternateContent xmlns:mc="http://schemas.openxmlformats.org/markup-compatibility/2006">
      <mc:Choice Requires="x14">
        <control shapeId="1030" r:id="rId17" name="btnptALRSS">
          <controlPr disabled="1" autoLine="0" r:id="rId18">
            <anchor moveWithCells="1">
              <from>
                <xdr:col>2</xdr:col>
                <xdr:colOff>95250</xdr:colOff>
                <xdr:row>14</xdr:row>
                <xdr:rowOff>104775</xdr:rowOff>
              </from>
              <to>
                <xdr:col>2</xdr:col>
                <xdr:colOff>1819275</xdr:colOff>
                <xdr:row>14</xdr:row>
                <xdr:rowOff>419100</xdr:rowOff>
              </to>
            </anchor>
          </controlPr>
        </control>
      </mc:Choice>
      <mc:Fallback>
        <control shapeId="1030" r:id="rId17" name="btnptALRSS"/>
      </mc:Fallback>
    </mc:AlternateContent>
    <mc:AlternateContent xmlns:mc="http://schemas.openxmlformats.org/markup-compatibility/2006">
      <mc:Choice Requires="x14">
        <control shapeId="1031" r:id="rId19" name="btnptALRCS">
          <controlPr disabled="1" autoLine="0" r:id="rId20">
            <anchor moveWithCells="1">
              <from>
                <xdr:col>2</xdr:col>
                <xdr:colOff>95250</xdr:colOff>
                <xdr:row>15</xdr:row>
                <xdr:rowOff>104775</xdr:rowOff>
              </from>
              <to>
                <xdr:col>2</xdr:col>
                <xdr:colOff>1819275</xdr:colOff>
                <xdr:row>15</xdr:row>
                <xdr:rowOff>419100</xdr:rowOff>
              </to>
            </anchor>
          </controlPr>
        </control>
      </mc:Choice>
      <mc:Fallback>
        <control shapeId="1031" r:id="rId19" name="btnptALRCS"/>
      </mc:Fallback>
    </mc:AlternateContent>
    <mc:AlternateContent xmlns:mc="http://schemas.openxmlformats.org/markup-compatibility/2006">
      <mc:Choice Requires="x14">
        <control shapeId="1032" r:id="rId21" name="btnptALRFL">
          <controlPr disabled="1" autoLine="0" r:id="rId22">
            <anchor moveWithCells="1">
              <from>
                <xdr:col>2</xdr:col>
                <xdr:colOff>95250</xdr:colOff>
                <xdr:row>17</xdr:row>
                <xdr:rowOff>104775</xdr:rowOff>
              </from>
              <to>
                <xdr:col>2</xdr:col>
                <xdr:colOff>1819275</xdr:colOff>
                <xdr:row>17</xdr:row>
                <xdr:rowOff>419100</xdr:rowOff>
              </to>
            </anchor>
          </controlPr>
        </control>
      </mc:Choice>
      <mc:Fallback>
        <control shapeId="1032" r:id="rId21" name="btnptALRFL"/>
      </mc:Fallback>
    </mc:AlternateContent>
    <mc:AlternateContent xmlns:mc="http://schemas.openxmlformats.org/markup-compatibility/2006">
      <mc:Choice Requires="x14">
        <control shapeId="1033" r:id="rId23" name="btnptALRFS">
          <controlPr disabled="1" autoLine="0" r:id="rId24">
            <anchor moveWithCells="1">
              <from>
                <xdr:col>2</xdr:col>
                <xdr:colOff>95250</xdr:colOff>
                <xdr:row>18</xdr:row>
                <xdr:rowOff>104775</xdr:rowOff>
              </from>
              <to>
                <xdr:col>2</xdr:col>
                <xdr:colOff>1819275</xdr:colOff>
                <xdr:row>18</xdr:row>
                <xdr:rowOff>419100</xdr:rowOff>
              </to>
            </anchor>
          </controlPr>
        </control>
      </mc:Choice>
      <mc:Fallback>
        <control shapeId="1033" r:id="rId23" name="btnptALRFS"/>
      </mc:Fallback>
    </mc:AlternateContent>
    <mc:AlternateContent xmlns:mc="http://schemas.openxmlformats.org/markup-compatibility/2006">
      <mc:Choice Requires="x14">
        <control shapeId="1034" r:id="rId25" name="btnptALRFC">
          <controlPr disabled="1" autoLine="0" r:id="rId26">
            <anchor moveWithCells="1">
              <from>
                <xdr:col>2</xdr:col>
                <xdr:colOff>95250</xdr:colOff>
                <xdr:row>19</xdr:row>
                <xdr:rowOff>104775</xdr:rowOff>
              </from>
              <to>
                <xdr:col>2</xdr:col>
                <xdr:colOff>1819275</xdr:colOff>
                <xdr:row>19</xdr:row>
                <xdr:rowOff>419100</xdr:rowOff>
              </to>
            </anchor>
          </controlPr>
        </control>
      </mc:Choice>
      <mc:Fallback>
        <control shapeId="1034" r:id="rId25" name="btnptALRFC"/>
      </mc:Fallback>
    </mc:AlternateContent>
    <mc:AlternateContent xmlns:mc="http://schemas.openxmlformats.org/markup-compatibility/2006">
      <mc:Choice Requires="x14">
        <control shapeId="1035" r:id="rId27" name="btnptCBD">
          <controlPr disabled="1" autoLine="0" r:id="rId28">
            <anchor moveWithCells="1">
              <from>
                <xdr:col>2</xdr:col>
                <xdr:colOff>95250</xdr:colOff>
                <xdr:row>22</xdr:row>
                <xdr:rowOff>104775</xdr:rowOff>
              </from>
              <to>
                <xdr:col>2</xdr:col>
                <xdr:colOff>1819275</xdr:colOff>
                <xdr:row>22</xdr:row>
                <xdr:rowOff>419100</xdr:rowOff>
              </to>
            </anchor>
          </controlPr>
        </control>
      </mc:Choice>
      <mc:Fallback>
        <control shapeId="1035" r:id="rId27" name="btnptCBD"/>
      </mc:Fallback>
    </mc:AlternateContent>
    <mc:AlternateContent xmlns:mc="http://schemas.openxmlformats.org/markup-compatibility/2006">
      <mc:Choice Requires="x14">
        <control shapeId="1036" r:id="rId29" name="btnptCBLTV">
          <controlPr disabled="1" autoLine="0" r:id="rId30">
            <anchor moveWithCells="1">
              <from>
                <xdr:col>2</xdr:col>
                <xdr:colOff>95250</xdr:colOff>
                <xdr:row>23</xdr:row>
                <xdr:rowOff>104775</xdr:rowOff>
              </from>
              <to>
                <xdr:col>2</xdr:col>
                <xdr:colOff>1819275</xdr:colOff>
                <xdr:row>23</xdr:row>
                <xdr:rowOff>419100</xdr:rowOff>
              </to>
            </anchor>
          </controlPr>
        </control>
      </mc:Choice>
      <mc:Fallback>
        <control shapeId="1036" r:id="rId29" name="btnptCBLTV"/>
      </mc:Fallback>
    </mc:AlternateContent>
    <mc:AlternateContent xmlns:mc="http://schemas.openxmlformats.org/markup-compatibility/2006">
      <mc:Choice Requires="x14">
        <control shapeId="1037" r:id="rId31" name="btnptMRD">
          <controlPr disabled="1" autoLine="0" r:id="rId32">
            <anchor moveWithCells="1">
              <from>
                <xdr:col>2</xdr:col>
                <xdr:colOff>95250</xdr:colOff>
                <xdr:row>24</xdr:row>
                <xdr:rowOff>104775</xdr:rowOff>
              </from>
              <to>
                <xdr:col>2</xdr:col>
                <xdr:colOff>1819275</xdr:colOff>
                <xdr:row>24</xdr:row>
                <xdr:rowOff>419100</xdr:rowOff>
              </to>
            </anchor>
          </controlPr>
        </control>
      </mc:Choice>
      <mc:Fallback>
        <control shapeId="1037" r:id="rId31" name="btnptMRD"/>
      </mc:Fallback>
    </mc:AlternateContent>
    <mc:AlternateContent xmlns:mc="http://schemas.openxmlformats.org/markup-compatibility/2006">
      <mc:Choice Requires="x14">
        <control shapeId="1038" r:id="rId33" name="btnptSD">
          <controlPr disabled="1" autoLine="0" r:id="rId34">
            <anchor moveWithCells="1">
              <from>
                <xdr:col>2</xdr:col>
                <xdr:colOff>95250</xdr:colOff>
                <xdr:row>25</xdr:row>
                <xdr:rowOff>104775</xdr:rowOff>
              </from>
              <to>
                <xdr:col>2</xdr:col>
                <xdr:colOff>1819275</xdr:colOff>
                <xdr:row>25</xdr:row>
                <xdr:rowOff>419100</xdr:rowOff>
              </to>
            </anchor>
          </controlPr>
        </control>
      </mc:Choice>
      <mc:Fallback>
        <control shapeId="1038" r:id="rId33" name="btnptSD"/>
      </mc:Fallback>
    </mc:AlternateContent>
    <mc:AlternateContent xmlns:mc="http://schemas.openxmlformats.org/markup-compatibility/2006">
      <mc:Choice Requires="x14">
        <control shapeId="1039" r:id="rId35" name="btnptIOEDRP">
          <controlPr disabled="1" autoLine="0" r:id="rId36">
            <anchor moveWithCells="1">
              <from>
                <xdr:col>2</xdr:col>
                <xdr:colOff>95250</xdr:colOff>
                <xdr:row>26</xdr:row>
                <xdr:rowOff>104775</xdr:rowOff>
              </from>
              <to>
                <xdr:col>2</xdr:col>
                <xdr:colOff>1819275</xdr:colOff>
                <xdr:row>26</xdr:row>
                <xdr:rowOff>419100</xdr:rowOff>
              </to>
            </anchor>
          </controlPr>
        </control>
      </mc:Choice>
      <mc:Fallback>
        <control shapeId="1039" r:id="rId35" name="btnptIOEDRP"/>
      </mc:Fallback>
    </mc:AlternateContent>
    <mc:AlternateContent xmlns:mc="http://schemas.openxmlformats.org/markup-compatibility/2006">
      <mc:Choice Requires="x14">
        <control shapeId="1040" r:id="rId37" name="btnptCBLLTVD">
          <controlPr disabled="1" autoLine="0" r:id="rId38">
            <anchor moveWithCells="1">
              <from>
                <xdr:col>2</xdr:col>
                <xdr:colOff>95250</xdr:colOff>
                <xdr:row>27</xdr:row>
                <xdr:rowOff>104775</xdr:rowOff>
              </from>
              <to>
                <xdr:col>2</xdr:col>
                <xdr:colOff>1819275</xdr:colOff>
                <xdr:row>27</xdr:row>
                <xdr:rowOff>419100</xdr:rowOff>
              </to>
            </anchor>
          </controlPr>
        </control>
      </mc:Choice>
      <mc:Fallback>
        <control shapeId="1040" r:id="rId37" name="btnptCBLLTVD"/>
      </mc:Fallback>
    </mc:AlternateContent>
    <mc:AlternateContent xmlns:mc="http://schemas.openxmlformats.org/markup-compatibility/2006">
      <mc:Choice Requires="x14">
        <control shapeId="1041" r:id="rId39" name="btnptAD">
          <controlPr disabled="1" autoLine="0" r:id="rId40">
            <anchor moveWithCells="1">
              <from>
                <xdr:col>2</xdr:col>
                <xdr:colOff>95250</xdr:colOff>
                <xdr:row>28</xdr:row>
                <xdr:rowOff>104775</xdr:rowOff>
              </from>
              <to>
                <xdr:col>2</xdr:col>
                <xdr:colOff>1819275</xdr:colOff>
                <xdr:row>28</xdr:row>
                <xdr:rowOff>419100</xdr:rowOff>
              </to>
            </anchor>
          </controlPr>
        </control>
      </mc:Choice>
      <mc:Fallback>
        <control shapeId="1041" r:id="rId39" name="btnptAD"/>
      </mc:Fallback>
    </mc:AlternateContent>
    <mc:AlternateContent xmlns:mc="http://schemas.openxmlformats.org/markup-compatibility/2006">
      <mc:Choice Requires="x14">
        <control shapeId="1042" r:id="rId41" name="btnptRCD">
          <controlPr disabled="1" autoLine="0" r:id="rId42">
            <anchor moveWithCells="1">
              <from>
                <xdr:col>2</xdr:col>
                <xdr:colOff>95250</xdr:colOff>
                <xdr:row>30</xdr:row>
                <xdr:rowOff>104775</xdr:rowOff>
              </from>
              <to>
                <xdr:col>2</xdr:col>
                <xdr:colOff>1819275</xdr:colOff>
                <xdr:row>30</xdr:row>
                <xdr:rowOff>419100</xdr:rowOff>
              </to>
            </anchor>
          </controlPr>
        </control>
      </mc:Choice>
      <mc:Fallback>
        <control shapeId="1042" r:id="rId41" name="btnptRCD"/>
      </mc:Fallback>
    </mc:AlternateContent>
    <mc:AlternateContent xmlns:mc="http://schemas.openxmlformats.org/markup-compatibility/2006">
      <mc:Choice Requires="x14">
        <control shapeId="1043" r:id="rId43" name="btnptIRT">
          <controlPr disabled="1" autoLine="0" r:id="rId44">
            <anchor moveWithCells="1">
              <from>
                <xdr:col>2</xdr:col>
                <xdr:colOff>95250</xdr:colOff>
                <xdr:row>31</xdr:row>
                <xdr:rowOff>104775</xdr:rowOff>
              </from>
              <to>
                <xdr:col>2</xdr:col>
                <xdr:colOff>1819275</xdr:colOff>
                <xdr:row>31</xdr:row>
                <xdr:rowOff>419100</xdr:rowOff>
              </to>
            </anchor>
          </controlPr>
        </control>
      </mc:Choice>
      <mc:Fallback>
        <control shapeId="1043" r:id="rId43" name="btnptIRT"/>
      </mc:Fallback>
    </mc:AlternateContent>
    <mc:AlternateContent xmlns:mc="http://schemas.openxmlformats.org/markup-compatibility/2006">
      <mc:Choice Requires="x14">
        <control shapeId="1044" r:id="rId45" name="btnptMSOPBD">
          <controlPr disabled="1" autoLine="0" r:id="rId46">
            <anchor moveWithCells="1">
              <from>
                <xdr:col>2</xdr:col>
                <xdr:colOff>95250</xdr:colOff>
                <xdr:row>32</xdr:row>
                <xdr:rowOff>104775</xdr:rowOff>
              </from>
              <to>
                <xdr:col>2</xdr:col>
                <xdr:colOff>1819275</xdr:colOff>
                <xdr:row>32</xdr:row>
                <xdr:rowOff>419100</xdr:rowOff>
              </to>
            </anchor>
          </controlPr>
        </control>
      </mc:Choice>
      <mc:Fallback>
        <control shapeId="1044" r:id="rId45" name="btnptMSOPBD"/>
      </mc:Fallback>
    </mc:AlternateContent>
    <mc:AlternateContent xmlns:mc="http://schemas.openxmlformats.org/markup-compatibility/2006">
      <mc:Choice Requires="x14">
        <control shapeId="1045" r:id="rId47" name="btnptMSOPBC">
          <controlPr disabled="1" autoLine="0" r:id="rId48">
            <anchor moveWithCells="1">
              <from>
                <xdr:col>2</xdr:col>
                <xdr:colOff>95250</xdr:colOff>
                <xdr:row>33</xdr:row>
                <xdr:rowOff>104775</xdr:rowOff>
              </from>
              <to>
                <xdr:col>2</xdr:col>
                <xdr:colOff>1819275</xdr:colOff>
                <xdr:row>33</xdr:row>
                <xdr:rowOff>419100</xdr:rowOff>
              </to>
            </anchor>
          </controlPr>
        </control>
      </mc:Choice>
      <mc:Fallback>
        <control shapeId="1045" r:id="rId47" name="btnptMSOPBC"/>
      </mc:Fallback>
    </mc:AlternateContent>
    <mc:AlternateContent xmlns:mc="http://schemas.openxmlformats.org/markup-compatibility/2006">
      <mc:Choice Requires="x14">
        <control shapeId="1046" r:id="rId49" name="btnptSLD">
          <controlPr disabled="1" autoLine="0" r:id="rId50">
            <anchor moveWithCells="1">
              <from>
                <xdr:col>2</xdr:col>
                <xdr:colOff>95250</xdr:colOff>
                <xdr:row>34</xdr:row>
                <xdr:rowOff>104775</xdr:rowOff>
              </from>
              <to>
                <xdr:col>2</xdr:col>
                <xdr:colOff>1819275</xdr:colOff>
                <xdr:row>34</xdr:row>
                <xdr:rowOff>419100</xdr:rowOff>
              </to>
            </anchor>
          </controlPr>
        </control>
      </mc:Choice>
      <mc:Fallback>
        <control shapeId="1046" r:id="rId49" name="btnptSLD"/>
      </mc:Fallback>
    </mc:AlternateContent>
    <mc:AlternateContent xmlns:mc="http://schemas.openxmlformats.org/markup-compatibility/2006">
      <mc:Choice Requires="x14">
        <control shapeId="1047" r:id="rId51" name="btnptMID">
          <controlPr disabled="1" autoLine="0" r:id="rId52">
            <anchor moveWithCells="1">
              <from>
                <xdr:col>2</xdr:col>
                <xdr:colOff>95250</xdr:colOff>
                <xdr:row>35</xdr:row>
                <xdr:rowOff>104775</xdr:rowOff>
              </from>
              <to>
                <xdr:col>2</xdr:col>
                <xdr:colOff>1819275</xdr:colOff>
                <xdr:row>35</xdr:row>
                <xdr:rowOff>419100</xdr:rowOff>
              </to>
            </anchor>
          </controlPr>
        </control>
      </mc:Choice>
      <mc:Fallback>
        <control shapeId="1047" r:id="rId51" name="btnptMID"/>
      </mc:Fallback>
    </mc:AlternateContent>
    <mc:AlternateContent xmlns:mc="http://schemas.openxmlformats.org/markup-compatibility/2006">
      <mc:Choice Requires="x14">
        <control shapeId="1048" r:id="rId53" name="btnptPTD">
          <controlPr disabled="1" autoLine="0" r:id="rId54">
            <anchor moveWithCells="1">
              <from>
                <xdr:col>2</xdr:col>
                <xdr:colOff>95250</xdr:colOff>
                <xdr:row>37</xdr:row>
                <xdr:rowOff>104775</xdr:rowOff>
              </from>
              <to>
                <xdr:col>2</xdr:col>
                <xdr:colOff>1819275</xdr:colOff>
                <xdr:row>37</xdr:row>
                <xdr:rowOff>419100</xdr:rowOff>
              </to>
            </anchor>
          </controlPr>
        </control>
      </mc:Choice>
      <mc:Fallback>
        <control shapeId="1048" r:id="rId53" name="btnptPTD"/>
      </mc:Fallback>
    </mc:AlternateContent>
    <mc:AlternateContent xmlns:mc="http://schemas.openxmlformats.org/markup-compatibility/2006">
      <mc:Choice Requires="x14">
        <control shapeId="1049" r:id="rId55" name="btnptMSSD">
          <controlPr disabled="1" autoLine="0" r:id="rId56">
            <anchor moveWithCells="1">
              <from>
                <xdr:col>2</xdr:col>
                <xdr:colOff>95250</xdr:colOff>
                <xdr:row>39</xdr:row>
                <xdr:rowOff>104775</xdr:rowOff>
              </from>
              <to>
                <xdr:col>2</xdr:col>
                <xdr:colOff>1819275</xdr:colOff>
                <xdr:row>39</xdr:row>
                <xdr:rowOff>419100</xdr:rowOff>
              </to>
            </anchor>
          </controlPr>
        </control>
      </mc:Choice>
      <mc:Fallback>
        <control shapeId="1049" r:id="rId55" name="btnptMSSD"/>
      </mc:Fallback>
    </mc:AlternateContent>
    <mc:AlternateContent xmlns:mc="http://schemas.openxmlformats.org/markup-compatibility/2006">
      <mc:Choice Requires="x14">
        <control shapeId="1050" r:id="rId57" name="btnptMSRD">
          <controlPr disabled="1" autoLine="0" r:id="rId58">
            <anchor moveWithCells="1">
              <from>
                <xdr:col>2</xdr:col>
                <xdr:colOff>95250</xdr:colOff>
                <xdr:row>40</xdr:row>
                <xdr:rowOff>104775</xdr:rowOff>
              </from>
              <to>
                <xdr:col>2</xdr:col>
                <xdr:colOff>1819275</xdr:colOff>
                <xdr:row>40</xdr:row>
                <xdr:rowOff>419100</xdr:rowOff>
              </to>
            </anchor>
          </controlPr>
        </control>
      </mc:Choice>
      <mc:Fallback>
        <control shapeId="1050" r:id="rId57" name="btnptMSRD"/>
      </mc:Fallback>
    </mc:AlternateContent>
    <mc:AlternateContent xmlns:mc="http://schemas.openxmlformats.org/markup-compatibility/2006">
      <mc:Choice Requires="x14">
        <control shapeId="1051" r:id="rId59" name="btnptPD">
          <controlPr disabled="1" autoLine="0" r:id="rId60">
            <anchor moveWithCells="1">
              <from>
                <xdr:col>2</xdr:col>
                <xdr:colOff>95250</xdr:colOff>
                <xdr:row>42</xdr:row>
                <xdr:rowOff>104775</xdr:rowOff>
              </from>
              <to>
                <xdr:col>2</xdr:col>
                <xdr:colOff>1819275</xdr:colOff>
                <xdr:row>42</xdr:row>
                <xdr:rowOff>419100</xdr:rowOff>
              </to>
            </anchor>
          </controlPr>
        </control>
      </mc:Choice>
      <mc:Fallback>
        <control shapeId="1051" r:id="rId59" name="btnptPD"/>
      </mc:Fallback>
    </mc:AlternateContent>
    <mc:AlternateContent xmlns:mc="http://schemas.openxmlformats.org/markup-compatibility/2006">
      <mc:Choice Requires="x14">
        <control shapeId="1052" r:id="rId61" name="btnptRYOM">
          <controlPr disabled="1" autoLine="0" r:id="rId62">
            <anchor moveWithCells="1">
              <from>
                <xdr:col>2</xdr:col>
                <xdr:colOff>95250</xdr:colOff>
                <xdr:row>44</xdr:row>
                <xdr:rowOff>104775</xdr:rowOff>
              </from>
              <to>
                <xdr:col>2</xdr:col>
                <xdr:colOff>1819275</xdr:colOff>
                <xdr:row>44</xdr:row>
                <xdr:rowOff>419100</xdr:rowOff>
              </to>
            </anchor>
          </controlPr>
        </control>
      </mc:Choice>
      <mc:Fallback>
        <control shapeId="1052" r:id="rId61" name="btnptRYOM"/>
      </mc:Fallback>
    </mc:AlternateContent>
    <mc:AlternateContent xmlns:mc="http://schemas.openxmlformats.org/markup-compatibility/2006">
      <mc:Choice Requires="x14">
        <control shapeId="1053" r:id="rId63" name="btnptFRYOM">
          <controlPr disabled="1" autoLine="0" r:id="rId64">
            <anchor moveWithCells="1">
              <from>
                <xdr:col>2</xdr:col>
                <xdr:colOff>95250</xdr:colOff>
                <xdr:row>47</xdr:row>
                <xdr:rowOff>104775</xdr:rowOff>
              </from>
              <to>
                <xdr:col>2</xdr:col>
                <xdr:colOff>1819275</xdr:colOff>
                <xdr:row>47</xdr:row>
                <xdr:rowOff>419100</xdr:rowOff>
              </to>
            </anchor>
          </controlPr>
        </control>
      </mc:Choice>
      <mc:Fallback>
        <control shapeId="1053" r:id="rId63" name="btnptFRYOM"/>
      </mc:Fallback>
    </mc:AlternateContent>
    <mc:AlternateContent xmlns:mc="http://schemas.openxmlformats.org/markup-compatibility/2006">
      <mc:Choice Requires="x14">
        <control shapeId="1054" r:id="rId65" name="btnptFRRDBYM">
          <controlPr disabled="1" autoLine="0" r:id="rId66">
            <anchor moveWithCells="1">
              <from>
                <xdr:col>2</xdr:col>
                <xdr:colOff>95250</xdr:colOff>
                <xdr:row>50</xdr:row>
                <xdr:rowOff>104775</xdr:rowOff>
              </from>
              <to>
                <xdr:col>2</xdr:col>
                <xdr:colOff>1819275</xdr:colOff>
                <xdr:row>50</xdr:row>
                <xdr:rowOff>419100</xdr:rowOff>
              </to>
            </anchor>
          </controlPr>
        </control>
      </mc:Choice>
      <mc:Fallback>
        <control shapeId="1054" r:id="rId65" name="btnptFRRDBYM"/>
      </mc:Fallback>
    </mc:AlternateContent>
    <mc:AlternateContent xmlns:mc="http://schemas.openxmlformats.org/markup-compatibility/2006">
      <mc:Choice Requires="x14">
        <control shapeId="1055" r:id="rId67" name="btnptReportsDT">
          <controlPr disabled="1" autoLine="0" r:id="rId68">
            <anchor moveWithCells="1">
              <from>
                <xdr:col>2</xdr:col>
                <xdr:colOff>95250</xdr:colOff>
                <xdr:row>52</xdr:row>
                <xdr:rowOff>104775</xdr:rowOff>
              </from>
              <to>
                <xdr:col>2</xdr:col>
                <xdr:colOff>1819275</xdr:colOff>
                <xdr:row>52</xdr:row>
                <xdr:rowOff>419100</xdr:rowOff>
              </to>
            </anchor>
          </controlPr>
        </control>
      </mc:Choice>
      <mc:Fallback>
        <control shapeId="1055" r:id="rId67" name="btnptReportsDT"/>
      </mc:Fallback>
    </mc:AlternateContent>
    <mc:AlternateContent xmlns:mc="http://schemas.openxmlformats.org/markup-compatibility/2006">
      <mc:Choice Requires="x14">
        <control shapeId="1056" r:id="rId69" name="btnRefreshAll">
          <controlPr disabled="1" autoLine="0" r:id="rId70">
            <anchor moveWithCells="1">
              <from>
                <xdr:col>2</xdr:col>
                <xdr:colOff>66675</xdr:colOff>
                <xdr:row>8</xdr:row>
                <xdr:rowOff>66675</xdr:rowOff>
              </from>
              <to>
                <xdr:col>4</xdr:col>
                <xdr:colOff>971550</xdr:colOff>
                <xdr:row>8</xdr:row>
                <xdr:rowOff>447675</xdr:rowOff>
              </to>
            </anchor>
          </controlPr>
        </control>
      </mc:Choice>
      <mc:Fallback>
        <control shapeId="1056" r:id="rId69" name="btnRefresh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8"/>
  <sheetViews>
    <sheetView topLeftCell="A10" workbookViewId="0">
      <selection activeCell="E10" sqref="E10"/>
    </sheetView>
  </sheetViews>
  <sheetFormatPr defaultRowHeight="15" x14ac:dyDescent="0.25"/>
  <cols>
    <col min="1" max="1" width="59.5703125" customWidth="1"/>
    <col min="2" max="2" width="38.5703125" customWidth="1"/>
    <col min="3" max="3" width="24.28515625" customWidth="1"/>
    <col min="4" max="4" width="23.85546875" customWidth="1"/>
    <col min="5" max="5" width="22.7109375" customWidth="1"/>
    <col min="12" max="12" width="19.7109375" customWidth="1"/>
    <col min="13" max="13" width="26.85546875" customWidth="1"/>
  </cols>
  <sheetData>
    <row r="1" spans="1:4" x14ac:dyDescent="0.25">
      <c r="A1" s="51" t="s">
        <v>23</v>
      </c>
      <c r="B1" s="47" t="s" vm="4">
        <v>489</v>
      </c>
      <c r="C1" s="6"/>
      <c r="D1" s="6"/>
    </row>
    <row r="2" spans="1:4" x14ac:dyDescent="0.25">
      <c r="A2" s="51" t="s">
        <v>20</v>
      </c>
      <c r="B2" s="47" t="s" vm="6">
        <v>500</v>
      </c>
      <c r="C2" s="6"/>
      <c r="D2" s="6"/>
    </row>
    <row r="3" spans="1:4" x14ac:dyDescent="0.25">
      <c r="A3" s="51" t="s">
        <v>19</v>
      </c>
      <c r="B3" s="47" t="s" vm="3">
        <v>18</v>
      </c>
      <c r="C3" s="6"/>
      <c r="D3" s="6"/>
    </row>
    <row r="4" spans="1:4" x14ac:dyDescent="0.25">
      <c r="A4" s="6"/>
      <c r="B4" s="6"/>
      <c r="C4" s="6"/>
      <c r="D4" s="6"/>
    </row>
    <row r="5" spans="1:4" x14ac:dyDescent="0.25">
      <c r="A5" s="47"/>
      <c r="B5" s="52" t="s">
        <v>29</v>
      </c>
      <c r="C5" s="47"/>
    </row>
    <row r="6" spans="1:4" x14ac:dyDescent="0.25">
      <c r="A6" s="55" t="s">
        <v>0</v>
      </c>
      <c r="B6" s="60" t="s">
        <v>98</v>
      </c>
      <c r="C6" s="60" t="s">
        <v>99</v>
      </c>
    </row>
    <row r="7" spans="1:4" x14ac:dyDescent="0.25">
      <c r="A7" s="60" t="s">
        <v>100</v>
      </c>
      <c r="B7" s="57">
        <v>222816</v>
      </c>
      <c r="C7" s="57">
        <v>222816</v>
      </c>
    </row>
    <row r="8" spans="1:4" x14ac:dyDescent="0.25">
      <c r="A8" s="60" t="s">
        <v>101</v>
      </c>
      <c r="B8" s="57">
        <v>179631</v>
      </c>
      <c r="C8" s="57">
        <v>179631</v>
      </c>
    </row>
    <row r="9" spans="1:4" x14ac:dyDescent="0.25">
      <c r="A9" s="60" t="s">
        <v>483</v>
      </c>
      <c r="B9" s="59">
        <v>56769997022.619751</v>
      </c>
      <c r="C9" s="59">
        <v>56769997022.619751</v>
      </c>
    </row>
    <row r="10" spans="1:4" x14ac:dyDescent="0.25">
      <c r="A10" s="60" t="s">
        <v>499</v>
      </c>
      <c r="B10" s="59">
        <v>254784.20321080959</v>
      </c>
      <c r="C10" s="59">
        <v>254784.20321080959</v>
      </c>
    </row>
    <row r="11" spans="1:4" x14ac:dyDescent="0.25">
      <c r="A11" s="60" t="s">
        <v>484</v>
      </c>
      <c r="B11" s="59">
        <v>1500000</v>
      </c>
      <c r="C11" s="59">
        <v>1500000</v>
      </c>
    </row>
    <row r="12" spans="1:4" x14ac:dyDescent="0.25">
      <c r="A12" s="60" t="s">
        <v>485</v>
      </c>
      <c r="B12" s="59">
        <v>10000</v>
      </c>
      <c r="C12" s="59">
        <v>10000</v>
      </c>
    </row>
    <row r="13" spans="1:4" x14ac:dyDescent="0.25">
      <c r="A13" s="60" t="s">
        <v>486</v>
      </c>
      <c r="B13" s="59">
        <v>123044590868</v>
      </c>
      <c r="C13" s="59">
        <v>123044590868</v>
      </c>
    </row>
    <row r="14" spans="1:4" x14ac:dyDescent="0.25">
      <c r="A14" s="60" t="s">
        <v>103</v>
      </c>
      <c r="B14" s="75">
        <v>0.61639846106966734</v>
      </c>
      <c r="C14" s="75">
        <v>0.6163984610696478</v>
      </c>
    </row>
    <row r="15" spans="1:4" x14ac:dyDescent="0.25">
      <c r="A15" s="60" t="s">
        <v>494</v>
      </c>
      <c r="B15" s="75">
        <v>0.64278841817058174</v>
      </c>
      <c r="C15" s="75">
        <v>0.6427884181705753</v>
      </c>
    </row>
    <row r="16" spans="1:4" x14ac:dyDescent="0.25">
      <c r="A16" s="60" t="s">
        <v>495</v>
      </c>
      <c r="B16" s="75">
        <v>0.95004</v>
      </c>
      <c r="C16" s="75">
        <v>0.95004</v>
      </c>
    </row>
    <row r="17" spans="1:3" x14ac:dyDescent="0.25">
      <c r="A17" s="60" t="s">
        <v>496</v>
      </c>
      <c r="B17" s="75">
        <v>7.1500000000000003E-4</v>
      </c>
      <c r="C17" s="75">
        <v>7.1500000000000003E-4</v>
      </c>
    </row>
    <row r="18" spans="1:3" x14ac:dyDescent="0.25">
      <c r="A18" s="60" t="s">
        <v>497</v>
      </c>
      <c r="B18" s="75">
        <v>1.300975</v>
      </c>
      <c r="C18" s="75">
        <v>1.300975</v>
      </c>
    </row>
    <row r="19" spans="1:3" x14ac:dyDescent="0.25">
      <c r="A19" s="60" t="s">
        <v>498</v>
      </c>
      <c r="B19" s="75">
        <v>3.4999999999999997E-5</v>
      </c>
      <c r="C19" s="75">
        <v>3.4999999999999997E-5</v>
      </c>
    </row>
    <row r="20" spans="1:3" x14ac:dyDescent="0.25">
      <c r="A20" s="60" t="s">
        <v>104</v>
      </c>
      <c r="B20" s="59">
        <v>40.611197050306409</v>
      </c>
      <c r="C20" s="59">
        <v>40.611197050306409</v>
      </c>
    </row>
    <row r="21" spans="1:3" x14ac:dyDescent="0.25">
      <c r="A21" s="60" t="s">
        <v>105</v>
      </c>
      <c r="B21" s="59">
        <v>238.70363744070372</v>
      </c>
      <c r="C21" s="59">
        <v>238.70363744070372</v>
      </c>
    </row>
    <row r="22" spans="1:3" x14ac:dyDescent="0.25">
      <c r="A22" s="60" t="s">
        <v>106</v>
      </c>
      <c r="B22" s="59">
        <v>359.88499999999999</v>
      </c>
      <c r="C22" s="59">
        <v>359.88499999999999</v>
      </c>
    </row>
    <row r="23" spans="1:3" x14ac:dyDescent="0.25">
      <c r="A23" s="60" t="s">
        <v>107</v>
      </c>
      <c r="B23" s="59">
        <v>253.7023295473158</v>
      </c>
      <c r="C23" s="59">
        <v>253.7023295473158</v>
      </c>
    </row>
    <row r="24" spans="1:3" x14ac:dyDescent="0.25">
      <c r="A24" s="60" t="s">
        <v>108</v>
      </c>
      <c r="B24" s="75">
        <v>0.46763818616605418</v>
      </c>
      <c r="C24" s="75">
        <v>0.46763818616605179</v>
      </c>
    </row>
    <row r="25" spans="1:3" x14ac:dyDescent="0.25">
      <c r="A25" s="60" t="s">
        <v>109</v>
      </c>
      <c r="B25" s="75">
        <v>0.53236181383394843</v>
      </c>
      <c r="C25" s="75">
        <v>0.53236181383394632</v>
      </c>
    </row>
    <row r="26" spans="1:3" x14ac:dyDescent="0.25">
      <c r="A26" s="60" t="s">
        <v>392</v>
      </c>
      <c r="B26" s="75">
        <v>0.30495258421436922</v>
      </c>
      <c r="C26" s="75">
        <v>0.30495258421436788</v>
      </c>
    </row>
    <row r="27" spans="1:3" x14ac:dyDescent="0.25">
      <c r="A27" s="60" t="s">
        <v>110</v>
      </c>
      <c r="B27" s="75">
        <v>5.9222824166793482E-2</v>
      </c>
      <c r="C27" s="75">
        <v>5.9222824166793482E-2</v>
      </c>
    </row>
    <row r="28" spans="1:3" x14ac:dyDescent="0.25">
      <c r="A28" s="60" t="s">
        <v>111</v>
      </c>
      <c r="B28" s="75">
        <v>6.2280590214874504E-2</v>
      </c>
      <c r="C28" s="75">
        <v>6.2280590214874504E-2</v>
      </c>
    </row>
    <row r="29" spans="1:3" x14ac:dyDescent="0.25">
      <c r="A29" s="60" t="s">
        <v>112</v>
      </c>
      <c r="B29" s="75">
        <v>0.10584760821769479</v>
      </c>
      <c r="C29" s="75">
        <v>0.10584760821769479</v>
      </c>
    </row>
    <row r="30" spans="1:3" x14ac:dyDescent="0.25">
      <c r="A30" s="60" t="s">
        <v>113</v>
      </c>
      <c r="B30" s="75">
        <v>0.15991385235889111</v>
      </c>
      <c r="C30" s="75">
        <v>0.1599138523588981</v>
      </c>
    </row>
    <row r="31" spans="1:3" x14ac:dyDescent="0.25">
      <c r="A31" s="60" t="s">
        <v>393</v>
      </c>
      <c r="B31" s="75">
        <v>0.69008591358249538</v>
      </c>
      <c r="C31" s="75">
        <v>0.69008591358249194</v>
      </c>
    </row>
    <row r="32" spans="1:3" x14ac:dyDescent="0.25">
      <c r="A32" s="60" t="s">
        <v>114</v>
      </c>
      <c r="B32" s="59">
        <v>7252868332.9099894</v>
      </c>
      <c r="C32" s="59">
        <v>7252868332.9099894</v>
      </c>
    </row>
    <row r="33" spans="1:5" x14ac:dyDescent="0.25">
      <c r="A33" s="60" t="s">
        <v>115</v>
      </c>
      <c r="B33" s="59">
        <v>49517128689.709869</v>
      </c>
      <c r="C33" s="59">
        <v>49517128689.709679</v>
      </c>
    </row>
    <row r="34" spans="1:5" x14ac:dyDescent="0.25">
      <c r="A34" s="60" t="s">
        <v>490</v>
      </c>
      <c r="B34" s="76" t="e">
        <v>#VALUE!</v>
      </c>
      <c r="C34" s="76" t="e">
        <v>#VALUE!</v>
      </c>
    </row>
    <row r="35" spans="1:5" x14ac:dyDescent="0.25">
      <c r="A35" s="60" t="s">
        <v>522</v>
      </c>
      <c r="B35" s="82" t="s">
        <v>523</v>
      </c>
      <c r="C35" s="82" t="s">
        <v>523</v>
      </c>
    </row>
    <row r="38" spans="1:5" s="45" customFormat="1" x14ac:dyDescent="0.25">
      <c r="A38" s="73" t="s">
        <v>487</v>
      </c>
      <c r="B38" s="60"/>
      <c r="C38" s="58"/>
      <c r="D38" s="58"/>
      <c r="E38" s="58"/>
    </row>
    <row r="39" spans="1:5" x14ac:dyDescent="0.25">
      <c r="A39" s="51" t="s">
        <v>23</v>
      </c>
      <c r="B39" s="47" t="s" vm="4">
        <v>489</v>
      </c>
      <c r="C39" s="45"/>
      <c r="D39" s="83" t="s">
        <v>476</v>
      </c>
      <c r="E39" s="45"/>
    </row>
    <row r="40" spans="1:5" s="45" customFormat="1" x14ac:dyDescent="0.25">
      <c r="A40" s="51" t="s">
        <v>20</v>
      </c>
      <c r="B40" s="47" t="s" vm="6">
        <v>500</v>
      </c>
      <c r="D40" s="83"/>
    </row>
    <row r="41" spans="1:5" s="45" customFormat="1" x14ac:dyDescent="0.25">
      <c r="A41" s="51" t="s">
        <v>19</v>
      </c>
      <c r="B41" s="47" t="s" vm="3">
        <v>18</v>
      </c>
      <c r="D41" s="83"/>
    </row>
    <row r="42" spans="1:5" x14ac:dyDescent="0.25">
      <c r="A42" s="47"/>
      <c r="B42" s="47"/>
    </row>
    <row r="43" spans="1:5" x14ac:dyDescent="0.25">
      <c r="A43" s="47"/>
      <c r="B43" s="47"/>
      <c r="C43" s="49" t="s">
        <v>29</v>
      </c>
    </row>
    <row r="44" spans="1:5" x14ac:dyDescent="0.25">
      <c r="A44" s="49" t="s">
        <v>477</v>
      </c>
      <c r="B44" s="55" t="s">
        <v>0</v>
      </c>
      <c r="C44" s="60" t="s">
        <v>478</v>
      </c>
    </row>
    <row r="45" spans="1:5" x14ac:dyDescent="0.25">
      <c r="A45" s="47" t="s">
        <v>98</v>
      </c>
      <c r="B45" s="60" t="s">
        <v>100</v>
      </c>
      <c r="C45" s="53">
        <v>177964</v>
      </c>
    </row>
    <row r="46" spans="1:5" x14ac:dyDescent="0.25">
      <c r="A46" s="47"/>
      <c r="B46" s="60" t="s">
        <v>101</v>
      </c>
      <c r="C46" s="53">
        <v>177964</v>
      </c>
    </row>
    <row r="47" spans="1:5" x14ac:dyDescent="0.25">
      <c r="A47" s="47"/>
      <c r="B47" s="60" t="s">
        <v>102</v>
      </c>
      <c r="C47" s="77">
        <v>46985077532.640274</v>
      </c>
    </row>
    <row r="48" spans="1:5" x14ac:dyDescent="0.25">
      <c r="A48" s="47"/>
      <c r="B48" s="60" t="s">
        <v>493</v>
      </c>
      <c r="C48" s="77">
        <v>95745542848</v>
      </c>
    </row>
  </sheetData>
  <mergeCells count="1">
    <mergeCell ref="D39:D41"/>
  </mergeCells>
  <pageMargins left="0.7" right="0.7" top="0.75" bottom="0.75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T32"/>
  <sheetViews>
    <sheetView topLeftCell="K1" workbookViewId="0">
      <selection activeCell="T35" sqref="T35"/>
    </sheetView>
  </sheetViews>
  <sheetFormatPr defaultRowHeight="15" x14ac:dyDescent="0.25"/>
  <cols>
    <col min="1" max="1" width="27" customWidth="1"/>
    <col min="2" max="2" width="25.140625" customWidth="1"/>
    <col min="4" max="4" width="29.28515625" customWidth="1"/>
    <col min="5" max="5" width="26.28515625" customWidth="1"/>
    <col min="7" max="7" width="28.42578125" customWidth="1"/>
    <col min="8" max="8" width="20.5703125" customWidth="1"/>
    <col min="10" max="10" width="55.42578125" customWidth="1"/>
    <col min="11" max="11" width="20.140625" customWidth="1"/>
    <col min="12" max="12" width="25.5703125" customWidth="1"/>
    <col min="13" max="13" width="10.140625" customWidth="1"/>
    <col min="14" max="14" width="45.7109375" customWidth="1"/>
    <col min="15" max="15" width="20" customWidth="1"/>
    <col min="16" max="16" width="28.140625" customWidth="1"/>
    <col min="18" max="18" width="28" customWidth="1"/>
    <col min="19" max="19" width="25" customWidth="1"/>
    <col min="20" max="20" width="31.5703125" customWidth="1"/>
  </cols>
  <sheetData>
    <row r="1" spans="1:20" x14ac:dyDescent="0.25">
      <c r="A1" s="48" t="s">
        <v>32</v>
      </c>
      <c r="B1" s="45"/>
      <c r="D1" s="48" t="s">
        <v>33</v>
      </c>
      <c r="E1" s="45"/>
      <c r="G1" s="48" t="s">
        <v>34</v>
      </c>
      <c r="H1" s="45"/>
      <c r="J1" s="37" t="s">
        <v>88</v>
      </c>
      <c r="N1" s="37" t="s">
        <v>89</v>
      </c>
      <c r="R1" s="37" t="s">
        <v>97</v>
      </c>
    </row>
    <row r="2" spans="1:20" x14ac:dyDescent="0.25">
      <c r="A2" s="45"/>
      <c r="B2" s="45"/>
      <c r="D2" s="48"/>
      <c r="E2" s="45"/>
      <c r="G2" s="51" t="s">
        <v>43</v>
      </c>
      <c r="H2" s="47" t="s" vm="4">
        <v>489</v>
      </c>
      <c r="J2" s="51" t="s">
        <v>43</v>
      </c>
      <c r="K2" s="47" t="s" vm="4">
        <v>489</v>
      </c>
      <c r="L2" s="45"/>
      <c r="N2" s="51" t="s">
        <v>43</v>
      </c>
      <c r="O2" s="47" t="s" vm="4">
        <v>489</v>
      </c>
      <c r="P2" s="45"/>
      <c r="R2" s="51" t="s">
        <v>43</v>
      </c>
      <c r="S2" s="47" t="s" vm="4">
        <v>489</v>
      </c>
      <c r="T2" s="46"/>
    </row>
    <row r="3" spans="1:20" x14ac:dyDescent="0.25">
      <c r="A3" s="51" t="s">
        <v>43</v>
      </c>
      <c r="B3" s="54" t="s" vm="4">
        <v>489</v>
      </c>
      <c r="D3" s="51" t="s">
        <v>43</v>
      </c>
      <c r="E3" s="47" t="s" vm="4">
        <v>489</v>
      </c>
      <c r="G3" s="51" t="s">
        <v>20</v>
      </c>
      <c r="H3" s="47" t="s" vm="6">
        <v>500</v>
      </c>
      <c r="J3" s="45"/>
      <c r="K3" s="45"/>
      <c r="L3" s="45"/>
      <c r="N3" s="45"/>
      <c r="O3" s="45"/>
      <c r="P3" s="45"/>
      <c r="R3" s="51" t="s">
        <v>19</v>
      </c>
      <c r="S3" s="47" t="s" vm="3">
        <v>18</v>
      </c>
      <c r="T3" s="46"/>
    </row>
    <row r="4" spans="1:20" x14ac:dyDescent="0.25">
      <c r="A4" s="51" t="s">
        <v>20</v>
      </c>
      <c r="B4" s="47" t="s" vm="6">
        <v>500</v>
      </c>
      <c r="D4" s="51" t="s">
        <v>20</v>
      </c>
      <c r="E4" s="47" t="s" vm="6">
        <v>500</v>
      </c>
      <c r="G4" s="51" t="s">
        <v>19</v>
      </c>
      <c r="H4" s="47" t="s" vm="3">
        <v>18</v>
      </c>
      <c r="J4" s="47"/>
      <c r="K4" s="49" t="s">
        <v>31</v>
      </c>
      <c r="L4" s="50"/>
      <c r="N4" s="47"/>
      <c r="O4" s="49" t="s">
        <v>31</v>
      </c>
      <c r="P4" s="50"/>
      <c r="R4" s="45"/>
      <c r="S4" s="45"/>
      <c r="T4" s="45"/>
    </row>
    <row r="5" spans="1:20" x14ac:dyDescent="0.25">
      <c r="A5" s="45"/>
      <c r="B5" s="45"/>
      <c r="D5" s="45"/>
      <c r="E5" s="45"/>
      <c r="G5" s="45"/>
      <c r="H5" s="45"/>
      <c r="J5" s="47"/>
      <c r="K5" s="50" t="s">
        <v>124</v>
      </c>
      <c r="L5" s="50"/>
      <c r="N5" s="47"/>
      <c r="O5" s="50" t="s">
        <v>131</v>
      </c>
      <c r="P5" s="50"/>
      <c r="R5" s="47"/>
      <c r="S5" s="49" t="s">
        <v>31</v>
      </c>
      <c r="T5" s="50"/>
    </row>
    <row r="6" spans="1:20" x14ac:dyDescent="0.25">
      <c r="A6" s="47"/>
      <c r="B6" s="49" t="s">
        <v>31</v>
      </c>
      <c r="D6" s="47"/>
      <c r="E6" s="49" t="s">
        <v>31</v>
      </c>
      <c r="G6" s="47"/>
      <c r="H6" s="49" t="s">
        <v>31</v>
      </c>
      <c r="J6" s="55" t="s">
        <v>30</v>
      </c>
      <c r="K6" s="60" t="s">
        <v>125</v>
      </c>
      <c r="L6" s="65" t="s">
        <v>128</v>
      </c>
      <c r="N6" s="55" t="s">
        <v>30</v>
      </c>
      <c r="O6" s="47" t="s">
        <v>132</v>
      </c>
      <c r="P6" s="50" t="s">
        <v>135</v>
      </c>
      <c r="R6" s="47"/>
      <c r="S6" s="47"/>
      <c r="T6" s="47"/>
    </row>
    <row r="7" spans="1:20" x14ac:dyDescent="0.25">
      <c r="A7" s="55" t="s">
        <v>0</v>
      </c>
      <c r="B7" s="60" t="s">
        <v>124</v>
      </c>
      <c r="D7" s="55" t="s">
        <v>0</v>
      </c>
      <c r="E7" s="60" t="s">
        <v>131</v>
      </c>
      <c r="G7" s="55" t="s">
        <v>0</v>
      </c>
      <c r="H7" s="60" t="s">
        <v>138</v>
      </c>
      <c r="J7" s="60" t="s">
        <v>501</v>
      </c>
      <c r="K7" s="63">
        <v>515067</v>
      </c>
      <c r="L7" s="50">
        <v>99980956083.161514</v>
      </c>
      <c r="N7" s="60" t="s">
        <v>501</v>
      </c>
      <c r="O7" s="63">
        <v>392602</v>
      </c>
      <c r="P7" s="50">
        <v>216743006656</v>
      </c>
      <c r="R7" s="49" t="s">
        <v>30</v>
      </c>
      <c r="S7" s="47"/>
      <c r="T7" s="47"/>
    </row>
    <row r="8" spans="1:20" x14ac:dyDescent="0.25">
      <c r="A8" s="60" t="s">
        <v>125</v>
      </c>
      <c r="B8" s="63">
        <v>515067</v>
      </c>
      <c r="D8" s="60" t="s">
        <v>132</v>
      </c>
      <c r="E8" s="63">
        <v>392602</v>
      </c>
      <c r="G8" s="60" t="s">
        <v>139</v>
      </c>
      <c r="H8" s="62"/>
      <c r="J8" s="64" t="s">
        <v>491</v>
      </c>
      <c r="K8" s="63">
        <v>6867</v>
      </c>
      <c r="L8" s="50">
        <v>-406190.65</v>
      </c>
      <c r="N8" s="64" t="s">
        <v>332</v>
      </c>
      <c r="O8" s="63">
        <v>20779</v>
      </c>
      <c r="P8" s="50">
        <v>4616922390</v>
      </c>
    </row>
    <row r="9" spans="1:20" x14ac:dyDescent="0.25">
      <c r="A9" s="60" t="s">
        <v>126</v>
      </c>
      <c r="B9" s="63">
        <v>385886</v>
      </c>
      <c r="D9" s="60" t="s">
        <v>133</v>
      </c>
      <c r="E9" s="63">
        <v>366602</v>
      </c>
      <c r="G9" s="60" t="s">
        <v>140</v>
      </c>
      <c r="H9" s="63">
        <v>315476</v>
      </c>
      <c r="J9" s="64" t="s">
        <v>308</v>
      </c>
      <c r="K9" s="63">
        <v>26</v>
      </c>
      <c r="L9" s="50">
        <v>8469461.0999999996</v>
      </c>
      <c r="N9" s="64" t="s">
        <v>333</v>
      </c>
      <c r="O9" s="63">
        <v>57460</v>
      </c>
      <c r="P9" s="50">
        <v>17419413174</v>
      </c>
    </row>
    <row r="10" spans="1:20" x14ac:dyDescent="0.25">
      <c r="A10" s="60" t="s">
        <v>127</v>
      </c>
      <c r="B10" s="63">
        <v>900953</v>
      </c>
      <c r="D10" s="60" t="s">
        <v>134</v>
      </c>
      <c r="E10" s="63">
        <v>759204</v>
      </c>
      <c r="G10" s="60" t="s">
        <v>141</v>
      </c>
      <c r="H10" s="63">
        <v>315476</v>
      </c>
      <c r="J10" s="64" t="s">
        <v>309</v>
      </c>
      <c r="K10" s="63">
        <v>872</v>
      </c>
      <c r="L10" s="50">
        <v>104735825.86999992</v>
      </c>
      <c r="N10" s="64" t="s">
        <v>334</v>
      </c>
      <c r="O10" s="63">
        <v>20301</v>
      </c>
      <c r="P10" s="50">
        <v>577</v>
      </c>
    </row>
    <row r="11" spans="1:20" x14ac:dyDescent="0.25">
      <c r="A11" s="60" t="s">
        <v>128</v>
      </c>
      <c r="B11" s="50">
        <v>99980956083.161087</v>
      </c>
      <c r="D11" s="60" t="s">
        <v>135</v>
      </c>
      <c r="E11" s="50">
        <v>216743006656</v>
      </c>
      <c r="G11" s="60" t="s">
        <v>142</v>
      </c>
      <c r="H11" s="50"/>
      <c r="J11" s="64" t="s">
        <v>310</v>
      </c>
      <c r="K11" s="63">
        <v>3737</v>
      </c>
      <c r="L11" s="50">
        <v>849527443.80999982</v>
      </c>
      <c r="N11" s="64" t="s">
        <v>335</v>
      </c>
      <c r="O11" s="63">
        <v>5391</v>
      </c>
      <c r="P11" s="50">
        <v>0</v>
      </c>
    </row>
    <row r="12" spans="1:20" x14ac:dyDescent="0.25">
      <c r="A12" s="60" t="s">
        <v>129</v>
      </c>
      <c r="B12" s="50">
        <v>93468561065.389114</v>
      </c>
      <c r="D12" s="60" t="s">
        <v>136</v>
      </c>
      <c r="E12" s="50">
        <v>184085349870</v>
      </c>
      <c r="G12" s="60" t="s">
        <v>143</v>
      </c>
      <c r="H12" s="50">
        <v>93468561065.389954</v>
      </c>
      <c r="J12" s="64" t="s">
        <v>311</v>
      </c>
      <c r="K12" s="63">
        <v>104977</v>
      </c>
      <c r="L12" s="50">
        <v>10230660790.300108</v>
      </c>
      <c r="N12" s="64" t="s">
        <v>336</v>
      </c>
      <c r="O12" s="63">
        <v>19080</v>
      </c>
      <c r="P12" s="50">
        <v>259997764</v>
      </c>
    </row>
    <row r="13" spans="1:20" x14ac:dyDescent="0.25">
      <c r="A13" s="60" t="s">
        <v>130</v>
      </c>
      <c r="B13" s="50">
        <v>193449517148.5502</v>
      </c>
      <c r="D13" s="60" t="s">
        <v>137</v>
      </c>
      <c r="E13" s="50">
        <v>400828356526</v>
      </c>
      <c r="G13" s="60" t="s">
        <v>144</v>
      </c>
      <c r="H13" s="50">
        <v>93468561065.389954</v>
      </c>
      <c r="J13" s="64" t="s">
        <v>312</v>
      </c>
      <c r="K13" s="63">
        <v>100449</v>
      </c>
      <c r="L13" s="50">
        <v>11711018953.760069</v>
      </c>
      <c r="N13" s="64" t="s">
        <v>337</v>
      </c>
      <c r="O13" s="63">
        <v>43758</v>
      </c>
      <c r="P13" s="50">
        <v>16418420290</v>
      </c>
    </row>
    <row r="14" spans="1:20" x14ac:dyDescent="0.25">
      <c r="J14" s="64" t="s">
        <v>313</v>
      </c>
      <c r="K14" s="63">
        <v>88999</v>
      </c>
      <c r="L14" s="50">
        <v>11635168179.540089</v>
      </c>
      <c r="N14" s="64" t="s">
        <v>338</v>
      </c>
      <c r="O14" s="63">
        <v>7047</v>
      </c>
      <c r="P14" s="50">
        <v>2582621490</v>
      </c>
    </row>
    <row r="15" spans="1:20" x14ac:dyDescent="0.25">
      <c r="J15" s="64" t="s">
        <v>314</v>
      </c>
      <c r="K15" s="63">
        <v>187640</v>
      </c>
      <c r="L15" s="50">
        <v>52116219329.309258</v>
      </c>
      <c r="N15" s="64" t="s">
        <v>339</v>
      </c>
      <c r="O15" s="63">
        <v>295393</v>
      </c>
      <c r="P15" s="50">
        <v>177700370650</v>
      </c>
    </row>
    <row r="16" spans="1:20" x14ac:dyDescent="0.25">
      <c r="J16" s="64" t="s">
        <v>315</v>
      </c>
      <c r="K16" s="63">
        <v>36383</v>
      </c>
      <c r="L16" s="50">
        <v>9499794285.1699963</v>
      </c>
    </row>
    <row r="17" spans="10:12" x14ac:dyDescent="0.25">
      <c r="J17" s="64" t="s">
        <v>316</v>
      </c>
      <c r="K17" s="63">
        <v>39843</v>
      </c>
      <c r="L17" s="50">
        <v>1623372804.1000242</v>
      </c>
    </row>
    <row r="18" spans="10:12" x14ac:dyDescent="0.25">
      <c r="J18" s="64" t="s">
        <v>317</v>
      </c>
      <c r="K18" s="63">
        <v>5738</v>
      </c>
      <c r="L18" s="50">
        <v>1639401991.3599975</v>
      </c>
    </row>
    <row r="19" spans="10:12" x14ac:dyDescent="0.25">
      <c r="J19" s="64" t="s">
        <v>318</v>
      </c>
      <c r="K19" s="63">
        <v>7957</v>
      </c>
      <c r="L19" s="50">
        <v>2138485519.4400032</v>
      </c>
    </row>
    <row r="20" spans="10:12" x14ac:dyDescent="0.25">
      <c r="J20" s="64" t="s">
        <v>319</v>
      </c>
      <c r="K20" s="63">
        <v>99327</v>
      </c>
      <c r="L20" s="50">
        <v>16775125.929999962</v>
      </c>
    </row>
    <row r="21" spans="10:12" x14ac:dyDescent="0.25">
      <c r="J21" s="64" t="s">
        <v>320</v>
      </c>
      <c r="K21" s="63">
        <v>2191</v>
      </c>
      <c r="L21" s="50">
        <v>4627760322.5999956</v>
      </c>
    </row>
    <row r="22" spans="10:12" x14ac:dyDescent="0.25">
      <c r="J22" s="64" t="s">
        <v>321</v>
      </c>
      <c r="K22" s="63">
        <v>304</v>
      </c>
      <c r="L22" s="50">
        <v>13357980.800000006</v>
      </c>
    </row>
    <row r="23" spans="10:12" x14ac:dyDescent="0.25">
      <c r="J23" s="64" t="s">
        <v>322</v>
      </c>
      <c r="K23" s="63">
        <v>27</v>
      </c>
      <c r="L23" s="50">
        <v>4716163.3899999997</v>
      </c>
    </row>
    <row r="24" spans="10:12" x14ac:dyDescent="0.25">
      <c r="J24" s="64" t="s">
        <v>323</v>
      </c>
      <c r="K24" s="63">
        <v>1929</v>
      </c>
      <c r="L24" s="50">
        <v>390920565.10000026</v>
      </c>
    </row>
    <row r="25" spans="10:12" x14ac:dyDescent="0.25">
      <c r="J25" s="64" t="s">
        <v>324</v>
      </c>
      <c r="K25" s="63">
        <v>32380</v>
      </c>
      <c r="L25" s="50">
        <v>5866404888.6100092</v>
      </c>
    </row>
    <row r="26" spans="10:12" x14ac:dyDescent="0.25">
      <c r="J26" s="64" t="s">
        <v>325</v>
      </c>
      <c r="K26" s="63">
        <v>3028</v>
      </c>
      <c r="L26" s="50">
        <v>1385882199.3999994</v>
      </c>
    </row>
    <row r="27" spans="10:12" x14ac:dyDescent="0.25">
      <c r="J27" s="64" t="s">
        <v>326</v>
      </c>
      <c r="K27" s="63">
        <v>51</v>
      </c>
      <c r="L27" s="50">
        <v>6955097.3899999997</v>
      </c>
    </row>
    <row r="28" spans="10:12" x14ac:dyDescent="0.25">
      <c r="J28" s="64" t="s">
        <v>327</v>
      </c>
      <c r="K28" s="63">
        <v>26219</v>
      </c>
      <c r="L28" s="50">
        <v>7765821380.3499737</v>
      </c>
    </row>
    <row r="29" spans="10:12" x14ac:dyDescent="0.25">
      <c r="J29" s="64" t="s">
        <v>328</v>
      </c>
      <c r="K29" s="63">
        <v>597</v>
      </c>
      <c r="L29" s="50">
        <v>17952674.969999995</v>
      </c>
    </row>
    <row r="30" spans="10:12" x14ac:dyDescent="0.25">
      <c r="J30" s="64" t="s">
        <v>329</v>
      </c>
      <c r="K30" s="63">
        <v>28912</v>
      </c>
      <c r="L30" s="50">
        <v>970821967.84000432</v>
      </c>
    </row>
    <row r="31" spans="10:12" x14ac:dyDescent="0.25">
      <c r="J31" s="64" t="s">
        <v>330</v>
      </c>
      <c r="K31" s="63">
        <v>3175</v>
      </c>
      <c r="L31" s="50">
        <v>912791137.81999981</v>
      </c>
    </row>
    <row r="32" spans="10:12" x14ac:dyDescent="0.25">
      <c r="J32" s="64" t="s">
        <v>331</v>
      </c>
      <c r="K32" s="63">
        <v>39684</v>
      </c>
      <c r="L32" s="50">
        <v>9123234081.4100056</v>
      </c>
    </row>
  </sheetData>
  <dataConsolidate/>
  <pageMargins left="0.7" right="0.7" top="0.75" bottom="0.75" header="0.3" footer="0.3"/>
  <pageSetup paperSize="9" orientation="portrait"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S93"/>
  <sheetViews>
    <sheetView tabSelected="1" topLeftCell="CF35" workbookViewId="0">
      <selection activeCell="CG48" sqref="CG48"/>
    </sheetView>
  </sheetViews>
  <sheetFormatPr defaultRowHeight="15" x14ac:dyDescent="0.25"/>
  <cols>
    <col min="1" max="1" width="25.140625" customWidth="1"/>
    <col min="2" max="2" width="15.85546875" bestFit="1" customWidth="1"/>
    <col min="3" max="3" width="20.7109375" bestFit="1" customWidth="1"/>
    <col min="4" max="4" width="29.28515625" style="46" bestFit="1" customWidth="1"/>
    <col min="5" max="5" width="31.5703125" bestFit="1" customWidth="1"/>
    <col min="6" max="6" width="30.85546875" bestFit="1" customWidth="1"/>
    <col min="8" max="8" width="26.42578125" bestFit="1" customWidth="1"/>
    <col min="9" max="9" width="15.85546875" bestFit="1" customWidth="1"/>
    <col min="10" max="10" width="20.7109375" style="46" bestFit="1" customWidth="1"/>
    <col min="11" max="11" width="29.28515625" style="46" bestFit="1" customWidth="1"/>
    <col min="13" max="13" width="30.85546875" bestFit="1" customWidth="1"/>
    <col min="15" max="15" width="23.28515625" bestFit="1" customWidth="1"/>
    <col min="16" max="16" width="15.85546875" bestFit="1" customWidth="1"/>
    <col min="17" max="17" width="20.7109375" bestFit="1" customWidth="1"/>
    <col min="18" max="18" width="29.28515625" style="46" bestFit="1" customWidth="1"/>
    <col min="19" max="19" width="31.5703125" bestFit="1" customWidth="1"/>
    <col min="20" max="20" width="30.85546875" bestFit="1" customWidth="1"/>
    <col min="22" max="22" width="21.140625" bestFit="1" customWidth="1"/>
    <col min="23" max="23" width="15.85546875" bestFit="1" customWidth="1"/>
    <col min="24" max="24" width="20.7109375" bestFit="1" customWidth="1"/>
    <col min="25" max="25" width="29.28515625" style="46" bestFit="1" customWidth="1"/>
    <col min="26" max="26" width="31.5703125" bestFit="1" customWidth="1"/>
    <col min="27" max="27" width="30.85546875" bestFit="1" customWidth="1"/>
    <col min="29" max="29" width="35.5703125" bestFit="1" customWidth="1"/>
    <col min="30" max="30" width="15.85546875" bestFit="1" customWidth="1"/>
    <col min="31" max="31" width="20.7109375" bestFit="1" customWidth="1"/>
    <col min="32" max="32" width="29.28515625" style="46" bestFit="1" customWidth="1"/>
    <col min="34" max="34" width="30.85546875" bestFit="1" customWidth="1"/>
    <col min="36" max="36" width="37.7109375" bestFit="1" customWidth="1"/>
    <col min="37" max="37" width="15.85546875" bestFit="1" customWidth="1"/>
    <col min="38" max="38" width="20.7109375" bestFit="1" customWidth="1"/>
    <col min="39" max="39" width="29.28515625" style="46" bestFit="1" customWidth="1"/>
    <col min="40" max="40" width="31.5703125" bestFit="1" customWidth="1"/>
    <col min="41" max="41" width="30.85546875" bestFit="1" customWidth="1"/>
    <col min="43" max="43" width="14.5703125" bestFit="1" customWidth="1"/>
    <col min="44" max="44" width="15.85546875" bestFit="1" customWidth="1"/>
    <col min="45" max="45" width="20.7109375" bestFit="1" customWidth="1"/>
    <col min="46" max="46" width="29.28515625" style="46" bestFit="1" customWidth="1"/>
    <col min="47" max="47" width="31.5703125" bestFit="1" customWidth="1"/>
    <col min="48" max="48" width="30.85546875" bestFit="1" customWidth="1"/>
    <col min="50" max="50" width="33.140625" customWidth="1"/>
    <col min="51" max="51" width="24.28515625" customWidth="1"/>
    <col min="52" max="52" width="31.140625" customWidth="1"/>
    <col min="53" max="53" width="37" style="46" customWidth="1"/>
    <col min="54" max="54" width="37.140625" customWidth="1"/>
    <col min="55" max="55" width="38.140625" customWidth="1"/>
    <col min="57" max="57" width="35.85546875" customWidth="1"/>
    <col min="58" max="58" width="17.140625" customWidth="1"/>
    <col min="59" max="59" width="24.5703125" customWidth="1"/>
    <col min="60" max="60" width="31.85546875" style="46" customWidth="1"/>
    <col min="61" max="61" width="32.28515625" customWidth="1"/>
    <col min="62" max="62" width="30.28515625" customWidth="1"/>
    <col min="64" max="64" width="46.42578125" customWidth="1"/>
    <col min="65" max="65" width="29.42578125" customWidth="1"/>
    <col min="66" max="66" width="26.140625" customWidth="1"/>
    <col min="67" max="67" width="33.85546875" style="46" customWidth="1"/>
    <col min="68" max="68" width="50" customWidth="1"/>
    <col min="69" max="69" width="42.85546875" customWidth="1"/>
    <col min="71" max="71" width="40.42578125" customWidth="1"/>
    <col min="72" max="72" width="23.85546875" customWidth="1"/>
    <col min="73" max="73" width="27.7109375" customWidth="1"/>
    <col min="74" max="74" width="31.140625" style="46" customWidth="1"/>
    <col min="75" max="75" width="33.42578125" customWidth="1"/>
    <col min="76" max="76" width="32.28515625" customWidth="1"/>
    <col min="78" max="78" width="32.85546875" customWidth="1"/>
    <col min="79" max="79" width="20.7109375" customWidth="1"/>
    <col min="80" max="80" width="39.5703125" customWidth="1"/>
    <col min="81" max="81" width="39.85546875" style="46" customWidth="1"/>
    <col min="82" max="82" width="41.140625" customWidth="1"/>
    <col min="83" max="83" width="42.42578125" customWidth="1"/>
    <col min="85" max="85" width="44.5703125" customWidth="1"/>
    <col min="86" max="86" width="33.42578125" customWidth="1"/>
    <col min="87" max="87" width="40.28515625" customWidth="1"/>
    <col min="88" max="88" width="40" style="46" customWidth="1"/>
    <col min="89" max="89" width="39.42578125" customWidth="1"/>
    <col min="90" max="90" width="41.7109375" customWidth="1"/>
    <col min="92" max="92" width="54.7109375" customWidth="1"/>
    <col min="93" max="93" width="40.42578125" customWidth="1"/>
    <col min="94" max="94" width="26.140625" customWidth="1"/>
    <col min="95" max="95" width="36.28515625" style="46" customWidth="1"/>
    <col min="96" max="96" width="36.140625" customWidth="1"/>
    <col min="97" max="97" width="40.28515625" customWidth="1"/>
  </cols>
  <sheetData>
    <row r="1" spans="1:97" x14ac:dyDescent="0.25">
      <c r="A1" s="13" t="s">
        <v>2</v>
      </c>
      <c r="B1" s="10"/>
      <c r="C1" s="11"/>
      <c r="D1" s="12"/>
      <c r="E1" s="11"/>
      <c r="F1" s="11"/>
      <c r="H1" s="13" t="s">
        <v>1</v>
      </c>
      <c r="I1" s="10"/>
      <c r="J1" s="12"/>
      <c r="K1" s="12"/>
      <c r="L1" s="11"/>
      <c r="M1" s="11"/>
      <c r="O1" s="13" t="s">
        <v>11</v>
      </c>
      <c r="P1" s="10"/>
      <c r="Q1" s="11"/>
      <c r="R1" s="12"/>
      <c r="S1" s="11"/>
      <c r="T1" s="11"/>
      <c r="V1" s="13" t="s">
        <v>3</v>
      </c>
      <c r="AC1" s="13" t="s">
        <v>17</v>
      </c>
      <c r="AD1" s="10"/>
      <c r="AE1" s="11"/>
      <c r="AF1" s="12"/>
      <c r="AG1" s="11"/>
      <c r="AH1" s="11"/>
      <c r="AJ1" s="13" t="s">
        <v>15</v>
      </c>
      <c r="AK1" s="10"/>
      <c r="AL1" s="11"/>
      <c r="AM1" s="12"/>
      <c r="AN1" s="11"/>
      <c r="AO1" s="11"/>
      <c r="AQ1" s="13" t="s">
        <v>12</v>
      </c>
      <c r="AR1" s="10"/>
      <c r="AS1" s="11"/>
      <c r="AT1" s="12"/>
      <c r="AU1" s="11"/>
      <c r="AV1" s="11"/>
      <c r="AX1" s="13" t="s">
        <v>4</v>
      </c>
      <c r="AY1" s="10"/>
      <c r="AZ1" s="11"/>
      <c r="BA1" s="12"/>
      <c r="BB1" s="11"/>
      <c r="BC1" s="11"/>
      <c r="BE1" s="13" t="s">
        <v>5</v>
      </c>
      <c r="BF1" s="10"/>
      <c r="BG1" s="11"/>
      <c r="BH1" s="12"/>
      <c r="BI1" s="11"/>
      <c r="BJ1" s="11"/>
      <c r="BL1" s="7" t="s">
        <v>24</v>
      </c>
      <c r="BM1" s="6"/>
      <c r="BN1" s="6"/>
      <c r="BO1" s="50"/>
      <c r="BP1" s="6"/>
      <c r="BQ1" s="6"/>
      <c r="BS1" s="9" t="s">
        <v>13</v>
      </c>
      <c r="BT1" s="10"/>
      <c r="BU1" s="11"/>
      <c r="BV1" s="12"/>
      <c r="BW1" s="11"/>
      <c r="BX1" s="11"/>
      <c r="BZ1" s="13" t="s">
        <v>7</v>
      </c>
      <c r="CA1" s="5"/>
      <c r="CB1" s="1"/>
      <c r="CC1" s="4"/>
      <c r="CD1" s="1"/>
      <c r="CE1" s="1"/>
      <c r="CG1" s="13" t="s">
        <v>10</v>
      </c>
      <c r="CH1" s="10"/>
      <c r="CI1" s="11"/>
      <c r="CJ1" s="12"/>
      <c r="CK1" s="11"/>
      <c r="CL1" s="11"/>
      <c r="CN1" s="3" t="s">
        <v>14</v>
      </c>
      <c r="CO1" s="10"/>
      <c r="CP1" s="11"/>
      <c r="CQ1" s="12"/>
      <c r="CR1" s="11"/>
      <c r="CS1" s="11"/>
    </row>
    <row r="2" spans="1:97" s="2" customFormat="1" x14ac:dyDescent="0.25">
      <c r="A2" s="51" t="s">
        <v>43</v>
      </c>
      <c r="B2" s="47" t="s" vm="4">
        <v>489</v>
      </c>
      <c r="C2" s="11"/>
      <c r="D2" s="12"/>
      <c r="E2" s="11"/>
      <c r="F2" s="11"/>
      <c r="H2" s="51" t="s">
        <v>43</v>
      </c>
      <c r="I2" s="47" t="s" vm="4">
        <v>489</v>
      </c>
      <c r="J2" s="12"/>
      <c r="K2" s="12"/>
      <c r="L2" s="11"/>
      <c r="M2" s="11"/>
      <c r="O2" s="51" t="s">
        <v>43</v>
      </c>
      <c r="P2" s="47" t="s" vm="4">
        <v>489</v>
      </c>
      <c r="Q2" s="11"/>
      <c r="R2" s="12"/>
      <c r="S2" s="11"/>
      <c r="T2" s="11"/>
      <c r="V2" s="13"/>
      <c r="Y2" s="46"/>
      <c r="AC2" s="51" t="s">
        <v>43</v>
      </c>
      <c r="AD2" s="47" t="s" vm="4">
        <v>489</v>
      </c>
      <c r="AE2" s="11"/>
      <c r="AF2" s="12"/>
      <c r="AG2" s="11"/>
      <c r="AH2" s="11"/>
      <c r="AJ2" s="51" t="s">
        <v>43</v>
      </c>
      <c r="AK2" s="47" t="s" vm="4">
        <v>489</v>
      </c>
      <c r="AL2" s="11"/>
      <c r="AM2" s="12"/>
      <c r="AN2" s="11"/>
      <c r="AO2" s="11"/>
      <c r="AQ2" s="51" t="s">
        <v>43</v>
      </c>
      <c r="AR2" s="47" t="s" vm="4">
        <v>489</v>
      </c>
      <c r="AS2" s="11"/>
      <c r="AT2" s="12"/>
      <c r="AU2" s="11"/>
      <c r="AV2" s="11"/>
      <c r="AX2" s="51" t="s">
        <v>43</v>
      </c>
      <c r="AY2" s="47" t="s" vm="4">
        <v>489</v>
      </c>
      <c r="AZ2" s="11"/>
      <c r="BA2" s="12"/>
      <c r="BB2" s="11"/>
      <c r="BC2" s="11"/>
      <c r="BE2" s="51" t="s">
        <v>43</v>
      </c>
      <c r="BF2" s="47" t="s" vm="4">
        <v>489</v>
      </c>
      <c r="BG2" s="11"/>
      <c r="BH2" s="12"/>
      <c r="BI2" s="11"/>
      <c r="BJ2" s="11"/>
      <c r="BL2" s="51" t="s">
        <v>43</v>
      </c>
      <c r="BM2" s="47" t="s" vm="4">
        <v>489</v>
      </c>
      <c r="BN2" s="6"/>
      <c r="BO2" s="50"/>
      <c r="BP2" s="6"/>
      <c r="BQ2" s="6"/>
      <c r="BS2" s="51" t="s">
        <v>43</v>
      </c>
      <c r="BT2" s="47" t="s" vm="4">
        <v>489</v>
      </c>
      <c r="BU2" s="11"/>
      <c r="BV2" s="12"/>
      <c r="BW2" s="11"/>
      <c r="BX2" s="11"/>
      <c r="BZ2" s="51" t="s">
        <v>43</v>
      </c>
      <c r="CA2" s="47" t="s" vm="4">
        <v>489</v>
      </c>
      <c r="CB2" s="1"/>
      <c r="CC2" s="4"/>
      <c r="CD2" s="1"/>
      <c r="CE2" s="1"/>
      <c r="CG2" s="51" t="s">
        <v>43</v>
      </c>
      <c r="CH2" s="47" t="s" vm="4">
        <v>489</v>
      </c>
      <c r="CI2" s="11"/>
      <c r="CJ2" s="12"/>
      <c r="CK2" s="11"/>
      <c r="CL2" s="11"/>
      <c r="CN2" s="51" t="s">
        <v>43</v>
      </c>
      <c r="CO2" s="47" t="s" vm="4">
        <v>489</v>
      </c>
      <c r="CP2" s="11"/>
      <c r="CQ2" s="12"/>
      <c r="CR2" s="11"/>
      <c r="CS2" s="11"/>
    </row>
    <row r="3" spans="1:97" x14ac:dyDescent="0.25">
      <c r="A3" s="51" t="s">
        <v>29</v>
      </c>
      <c r="B3" s="53" t="s" vm="2">
        <v>301</v>
      </c>
      <c r="H3" s="51" t="s">
        <v>29</v>
      </c>
      <c r="I3" s="53" t="s" vm="2">
        <v>301</v>
      </c>
      <c r="O3" s="51" t="s">
        <v>29</v>
      </c>
      <c r="P3" s="53" t="s" vm="2">
        <v>301</v>
      </c>
      <c r="V3" s="51" t="s">
        <v>43</v>
      </c>
      <c r="W3" s="47" t="s" vm="4">
        <v>489</v>
      </c>
      <c r="AC3" s="51" t="s">
        <v>29</v>
      </c>
      <c r="AD3" s="53" t="s" vm="2">
        <v>301</v>
      </c>
      <c r="AJ3" s="51" t="s">
        <v>29</v>
      </c>
      <c r="AK3" s="53" t="s" vm="2">
        <v>301</v>
      </c>
      <c r="AQ3" s="51" t="s">
        <v>29</v>
      </c>
      <c r="AR3" s="53" t="s" vm="2">
        <v>301</v>
      </c>
      <c r="AX3" s="51" t="s">
        <v>29</v>
      </c>
      <c r="AY3" s="53" t="s" vm="2">
        <v>301</v>
      </c>
      <c r="AZ3" s="6"/>
      <c r="BA3" s="50"/>
      <c r="BB3" s="6"/>
      <c r="BC3" s="6"/>
      <c r="BE3" s="51" t="s">
        <v>29</v>
      </c>
      <c r="BF3" s="53" t="s" vm="2">
        <v>301</v>
      </c>
      <c r="BL3" s="51" t="s">
        <v>29</v>
      </c>
      <c r="BM3" s="53" t="s" vm="2">
        <v>301</v>
      </c>
      <c r="BN3" s="6"/>
      <c r="BO3" s="50"/>
      <c r="BP3" s="6"/>
      <c r="BQ3" s="6"/>
      <c r="BS3" s="51" t="s">
        <v>29</v>
      </c>
      <c r="BT3" s="53" t="s" vm="2">
        <v>301</v>
      </c>
      <c r="BU3" s="6"/>
      <c r="BV3" s="50"/>
      <c r="BW3" s="6"/>
      <c r="BX3" s="6"/>
      <c r="BZ3" s="51" t="s">
        <v>29</v>
      </c>
      <c r="CA3" s="53" t="s" vm="2">
        <v>301</v>
      </c>
      <c r="CB3" s="2"/>
      <c r="CD3" s="2"/>
      <c r="CE3" s="2"/>
      <c r="CG3" s="51" t="s">
        <v>29</v>
      </c>
      <c r="CH3" s="53" t="s" vm="2">
        <v>301</v>
      </c>
      <c r="CI3" s="11"/>
      <c r="CJ3" s="12"/>
      <c r="CK3" s="11"/>
      <c r="CL3" s="11"/>
      <c r="CN3" s="51" t="s">
        <v>29</v>
      </c>
      <c r="CO3" s="53" t="s" vm="2">
        <v>301</v>
      </c>
      <c r="CP3" s="11"/>
      <c r="CQ3" s="12"/>
      <c r="CR3" s="11"/>
      <c r="CS3" s="11"/>
    </row>
    <row r="4" spans="1:97" x14ac:dyDescent="0.25">
      <c r="A4" s="51" t="s">
        <v>20</v>
      </c>
      <c r="B4" s="47" t="s" vm="6">
        <v>500</v>
      </c>
      <c r="H4" s="51" t="s">
        <v>20</v>
      </c>
      <c r="I4" s="53" t="s" vm="6">
        <v>500</v>
      </c>
      <c r="O4" s="51" t="s">
        <v>20</v>
      </c>
      <c r="P4" s="53" t="s" vm="6">
        <v>500</v>
      </c>
      <c r="V4" s="51" t="s">
        <v>29</v>
      </c>
      <c r="W4" s="53" t="s" vm="2">
        <v>301</v>
      </c>
      <c r="AC4" s="51" t="s">
        <v>20</v>
      </c>
      <c r="AD4" s="53" t="s" vm="6">
        <v>500</v>
      </c>
      <c r="AJ4" s="51" t="s">
        <v>20</v>
      </c>
      <c r="AK4" s="53" t="s" vm="6">
        <v>500</v>
      </c>
      <c r="AQ4" s="51" t="s">
        <v>20</v>
      </c>
      <c r="AR4" s="53" t="s" vm="6">
        <v>500</v>
      </c>
      <c r="AX4" s="51" t="s">
        <v>30</v>
      </c>
      <c r="AY4" s="53" t="s" vm="6">
        <v>500</v>
      </c>
      <c r="AZ4" s="6"/>
      <c r="BA4" s="50"/>
      <c r="BB4" s="6"/>
      <c r="BC4" s="6"/>
      <c r="BE4" s="51" t="s">
        <v>20</v>
      </c>
      <c r="BF4" s="53" t="s" vm="6">
        <v>500</v>
      </c>
      <c r="BL4" s="51" t="s">
        <v>30</v>
      </c>
      <c r="BM4" s="53" t="s" vm="6">
        <v>500</v>
      </c>
      <c r="BN4" s="6"/>
      <c r="BO4" s="50"/>
      <c r="BP4" s="6"/>
      <c r="BQ4" s="6"/>
      <c r="BS4" s="51" t="s">
        <v>30</v>
      </c>
      <c r="BT4" s="53" t="s" vm="6">
        <v>500</v>
      </c>
      <c r="BU4" s="6"/>
      <c r="BV4" s="50"/>
      <c r="BW4" s="6"/>
      <c r="BX4" s="6"/>
      <c r="BZ4" s="51" t="s">
        <v>30</v>
      </c>
      <c r="CA4" s="53" t="s" vm="6">
        <v>500</v>
      </c>
      <c r="CG4" s="51" t="s">
        <v>20</v>
      </c>
      <c r="CH4" s="53" t="s" vm="6">
        <v>500</v>
      </c>
      <c r="CI4" s="6"/>
      <c r="CJ4" s="50"/>
      <c r="CK4" s="6"/>
      <c r="CL4" s="6"/>
      <c r="CN4" s="51" t="s">
        <v>20</v>
      </c>
      <c r="CO4" s="53" t="s" vm="6">
        <v>500</v>
      </c>
      <c r="CP4" s="6"/>
      <c r="CQ4" s="50"/>
      <c r="CR4" s="6"/>
      <c r="CS4" s="6"/>
    </row>
    <row r="5" spans="1:97" x14ac:dyDescent="0.25">
      <c r="A5" s="51" t="s">
        <v>19</v>
      </c>
      <c r="B5" s="47" t="s" vm="3">
        <v>18</v>
      </c>
      <c r="H5" s="51" t="s">
        <v>19</v>
      </c>
      <c r="I5" s="47" t="s" vm="3">
        <v>18</v>
      </c>
      <c r="O5" s="51" t="s">
        <v>19</v>
      </c>
      <c r="P5" s="47" t="s" vm="3">
        <v>18</v>
      </c>
      <c r="V5" s="51" t="s">
        <v>20</v>
      </c>
      <c r="W5" s="53" t="s" vm="6">
        <v>500</v>
      </c>
      <c r="AC5" s="51" t="s">
        <v>19</v>
      </c>
      <c r="AD5" s="47" t="s" vm="3">
        <v>18</v>
      </c>
      <c r="AJ5" s="51" t="s">
        <v>19</v>
      </c>
      <c r="AK5" s="47" t="s" vm="3">
        <v>18</v>
      </c>
      <c r="AQ5" s="51" t="s">
        <v>19</v>
      </c>
      <c r="AR5" s="47" t="s" vm="3">
        <v>18</v>
      </c>
      <c r="AX5" s="51" t="s">
        <v>19</v>
      </c>
      <c r="AY5" s="47" t="s" vm="3">
        <v>18</v>
      </c>
      <c r="AZ5" s="6"/>
      <c r="BA5" s="50"/>
      <c r="BB5" s="6"/>
      <c r="BC5" s="6"/>
      <c r="BE5" s="51" t="s">
        <v>19</v>
      </c>
      <c r="BF5" s="47" t="s" vm="5">
        <v>18</v>
      </c>
      <c r="BL5" s="51" t="s">
        <v>19</v>
      </c>
      <c r="BM5" s="47" t="s" vm="5">
        <v>18</v>
      </c>
      <c r="BN5" s="6"/>
      <c r="BO5" s="50"/>
      <c r="BP5" s="6"/>
      <c r="BQ5" s="6"/>
      <c r="BS5" s="51" t="s">
        <v>19</v>
      </c>
      <c r="BT5" s="47" t="s" vm="3">
        <v>18</v>
      </c>
      <c r="BZ5" s="51" t="s">
        <v>19</v>
      </c>
      <c r="CA5" s="47" t="s" vm="3">
        <v>18</v>
      </c>
      <c r="CG5" s="51" t="s">
        <v>19</v>
      </c>
      <c r="CH5" s="47" t="s" vm="3">
        <v>18</v>
      </c>
      <c r="CI5" s="6"/>
      <c r="CJ5" s="50"/>
      <c r="CK5" s="6"/>
      <c r="CL5" s="6"/>
      <c r="CN5" s="51" t="s">
        <v>19</v>
      </c>
      <c r="CO5" s="47" t="s" vm="3">
        <v>18</v>
      </c>
      <c r="CP5" s="6"/>
      <c r="CQ5" s="50"/>
      <c r="CR5" s="6"/>
      <c r="CS5" s="6"/>
    </row>
    <row r="6" spans="1:97" x14ac:dyDescent="0.25">
      <c r="V6" s="51" t="s">
        <v>19</v>
      </c>
      <c r="W6" s="47" t="s" vm="3">
        <v>18</v>
      </c>
      <c r="AX6" s="6"/>
      <c r="AY6" s="6"/>
      <c r="AZ6" s="6"/>
      <c r="BA6" s="50"/>
      <c r="BB6" s="6"/>
      <c r="BC6" s="6"/>
      <c r="BL6" s="6"/>
      <c r="BM6" s="8"/>
      <c r="BN6" s="6"/>
      <c r="BO6" s="50"/>
      <c r="BP6" s="6"/>
      <c r="BQ6" s="6"/>
      <c r="CG6" s="51" t="s">
        <v>44</v>
      </c>
      <c r="CH6" s="47" t="s" vm="1">
        <v>9</v>
      </c>
      <c r="CI6" s="6"/>
      <c r="CJ6" s="50"/>
      <c r="CK6" s="6"/>
      <c r="CL6" s="6"/>
      <c r="CN6" s="51" t="s">
        <v>44</v>
      </c>
      <c r="CO6" s="47" t="s" vm="1">
        <v>9</v>
      </c>
    </row>
    <row r="7" spans="1:97" x14ac:dyDescent="0.25">
      <c r="A7" s="60"/>
      <c r="B7" s="56" t="s">
        <v>0</v>
      </c>
      <c r="C7" s="65"/>
      <c r="D7" s="65"/>
      <c r="E7" s="65"/>
      <c r="F7" s="65"/>
      <c r="H7" s="60"/>
      <c r="I7" s="56" t="s">
        <v>0</v>
      </c>
      <c r="J7" s="65"/>
      <c r="K7" s="65"/>
      <c r="L7" s="65"/>
      <c r="M7" s="65"/>
      <c r="O7" s="47"/>
      <c r="P7" s="56" t="s">
        <v>0</v>
      </c>
      <c r="Q7" s="65"/>
      <c r="R7" s="65"/>
      <c r="S7" s="65"/>
      <c r="T7" s="65"/>
      <c r="AC7" s="47"/>
      <c r="AD7" s="56" t="s">
        <v>0</v>
      </c>
      <c r="AE7" s="65"/>
      <c r="AF7" s="65"/>
      <c r="AG7" s="65"/>
      <c r="AH7" s="65"/>
      <c r="AJ7" s="47"/>
      <c r="AK7" s="56" t="s">
        <v>0</v>
      </c>
      <c r="AL7" s="65"/>
      <c r="AM7" s="65"/>
      <c r="AN7" s="65"/>
      <c r="AO7" s="65"/>
      <c r="AQ7" s="47"/>
      <c r="AR7" s="56" t="s">
        <v>0</v>
      </c>
      <c r="AS7" s="65"/>
      <c r="AT7" s="65"/>
      <c r="AU7" s="65"/>
      <c r="AV7" s="65"/>
      <c r="AX7" s="47"/>
      <c r="AY7" s="56" t="s">
        <v>0</v>
      </c>
      <c r="AZ7" s="65"/>
      <c r="BA7" s="65"/>
      <c r="BB7" s="65"/>
      <c r="BC7" s="65"/>
      <c r="BE7" s="47"/>
      <c r="BF7" s="56" t="s">
        <v>0</v>
      </c>
      <c r="BG7" s="65"/>
      <c r="BH7" s="65"/>
      <c r="BI7" s="65"/>
      <c r="BJ7" s="65"/>
      <c r="BL7" s="47"/>
      <c r="BM7" s="56" t="s">
        <v>0</v>
      </c>
      <c r="BN7" s="65"/>
      <c r="BO7" s="65"/>
      <c r="BP7" s="65"/>
      <c r="BQ7" s="65"/>
      <c r="BS7" s="47"/>
      <c r="BT7" s="56" t="s">
        <v>0</v>
      </c>
      <c r="BU7" s="65"/>
      <c r="BV7" s="65"/>
      <c r="BW7" s="65"/>
      <c r="BX7" s="65"/>
      <c r="BZ7" s="47"/>
      <c r="CA7" s="56" t="s">
        <v>0</v>
      </c>
      <c r="CB7" s="65"/>
      <c r="CC7" s="65"/>
      <c r="CD7" s="65"/>
      <c r="CE7" s="65"/>
      <c r="CG7" s="6"/>
      <c r="CH7" s="8"/>
      <c r="CI7" s="6"/>
      <c r="CJ7" s="50"/>
      <c r="CK7" s="6"/>
      <c r="CL7" s="6"/>
    </row>
    <row r="8" spans="1:97" x14ac:dyDescent="0.25">
      <c r="A8" s="81" t="s">
        <v>16</v>
      </c>
      <c r="B8" s="66" t="s">
        <v>116</v>
      </c>
      <c r="C8" s="60" t="s">
        <v>117</v>
      </c>
      <c r="D8" s="65" t="s">
        <v>118</v>
      </c>
      <c r="E8" s="60" t="s">
        <v>119</v>
      </c>
      <c r="F8" s="60" t="s">
        <v>120</v>
      </c>
      <c r="H8" s="81" t="s">
        <v>16</v>
      </c>
      <c r="I8" s="66" t="s">
        <v>116</v>
      </c>
      <c r="J8" s="65" t="s">
        <v>117</v>
      </c>
      <c r="K8" s="65" t="s">
        <v>118</v>
      </c>
      <c r="L8" s="60" t="s">
        <v>119</v>
      </c>
      <c r="M8" s="60" t="s">
        <v>120</v>
      </c>
      <c r="O8" s="49" t="s">
        <v>26</v>
      </c>
      <c r="P8" s="66" t="s">
        <v>116</v>
      </c>
      <c r="Q8" s="60" t="s">
        <v>117</v>
      </c>
      <c r="R8" s="65" t="s">
        <v>118</v>
      </c>
      <c r="S8" s="60" t="s">
        <v>119</v>
      </c>
      <c r="T8" s="60" t="s">
        <v>120</v>
      </c>
      <c r="V8" s="47"/>
      <c r="W8" s="56" t="s">
        <v>0</v>
      </c>
      <c r="X8" s="65"/>
      <c r="Y8" s="65"/>
      <c r="Z8" s="65"/>
      <c r="AA8" s="65"/>
      <c r="AC8" s="49" t="s">
        <v>16</v>
      </c>
      <c r="AD8" s="66" t="s">
        <v>116</v>
      </c>
      <c r="AE8" s="60" t="s">
        <v>117</v>
      </c>
      <c r="AF8" s="65" t="s">
        <v>118</v>
      </c>
      <c r="AG8" s="60" t="s">
        <v>119</v>
      </c>
      <c r="AH8" s="60" t="s">
        <v>120</v>
      </c>
      <c r="AJ8" s="49" t="s">
        <v>16</v>
      </c>
      <c r="AK8" s="66" t="s">
        <v>116</v>
      </c>
      <c r="AL8" s="60" t="s">
        <v>117</v>
      </c>
      <c r="AM8" s="65" t="s">
        <v>118</v>
      </c>
      <c r="AN8" s="60" t="s">
        <v>119</v>
      </c>
      <c r="AO8" s="60" t="s">
        <v>120</v>
      </c>
      <c r="AQ8" s="49" t="s">
        <v>27</v>
      </c>
      <c r="AR8" s="66" t="s">
        <v>116</v>
      </c>
      <c r="AS8" s="60" t="s">
        <v>117</v>
      </c>
      <c r="AT8" s="65" t="s">
        <v>118</v>
      </c>
      <c r="AU8" s="60" t="s">
        <v>119</v>
      </c>
      <c r="AV8" s="60" t="s">
        <v>120</v>
      </c>
      <c r="AX8" s="49" t="s">
        <v>36</v>
      </c>
      <c r="AY8" s="66" t="s">
        <v>116</v>
      </c>
      <c r="AZ8" s="60" t="s">
        <v>117</v>
      </c>
      <c r="BA8" s="65" t="s">
        <v>118</v>
      </c>
      <c r="BB8" s="60" t="s">
        <v>119</v>
      </c>
      <c r="BC8" s="60" t="s">
        <v>120</v>
      </c>
      <c r="BE8" s="49" t="s">
        <v>302</v>
      </c>
      <c r="BF8" s="66" t="s">
        <v>116</v>
      </c>
      <c r="BG8" s="60" t="s">
        <v>117</v>
      </c>
      <c r="BH8" s="65" t="s">
        <v>118</v>
      </c>
      <c r="BI8" s="47" t="s">
        <v>119</v>
      </c>
      <c r="BJ8" s="47" t="s">
        <v>120</v>
      </c>
      <c r="BL8" s="49" t="s">
        <v>24</v>
      </c>
      <c r="BM8" s="66" t="s">
        <v>116</v>
      </c>
      <c r="BN8" s="60" t="s">
        <v>117</v>
      </c>
      <c r="BO8" s="65" t="s">
        <v>118</v>
      </c>
      <c r="BP8" s="60" t="s">
        <v>220</v>
      </c>
      <c r="BQ8" s="60" t="s">
        <v>221</v>
      </c>
      <c r="BS8" s="49" t="s">
        <v>13</v>
      </c>
      <c r="BT8" s="66" t="s">
        <v>116</v>
      </c>
      <c r="BU8" s="60" t="s">
        <v>117</v>
      </c>
      <c r="BV8" s="65" t="s">
        <v>118</v>
      </c>
      <c r="BW8" s="60" t="s">
        <v>119</v>
      </c>
      <c r="BX8" s="60" t="s">
        <v>120</v>
      </c>
      <c r="BZ8" s="49" t="s">
        <v>7</v>
      </c>
      <c r="CA8" s="66" t="s">
        <v>116</v>
      </c>
      <c r="CB8" s="60" t="s">
        <v>117</v>
      </c>
      <c r="CC8" s="65" t="s">
        <v>118</v>
      </c>
      <c r="CD8" s="60" t="s">
        <v>119</v>
      </c>
      <c r="CE8" s="60" t="s">
        <v>120</v>
      </c>
      <c r="CG8" s="47"/>
      <c r="CH8" s="56" t="s">
        <v>0</v>
      </c>
      <c r="CI8" s="65"/>
      <c r="CJ8" s="65"/>
      <c r="CK8" s="65"/>
      <c r="CL8" s="65"/>
      <c r="CN8" s="47"/>
      <c r="CO8" s="56" t="s">
        <v>0</v>
      </c>
      <c r="CP8" s="65"/>
      <c r="CQ8" s="65"/>
      <c r="CR8" s="65"/>
      <c r="CS8" s="65"/>
    </row>
    <row r="9" spans="1:97" x14ac:dyDescent="0.25">
      <c r="A9" s="60" t="s">
        <v>121</v>
      </c>
      <c r="B9" s="74">
        <v>79</v>
      </c>
      <c r="C9" s="65">
        <v>790000</v>
      </c>
      <c r="D9" s="50">
        <v>10000</v>
      </c>
      <c r="E9" s="61">
        <v>4.1451755927863452E-4</v>
      </c>
      <c r="F9" s="61">
        <v>1.5944504234447082E-5</v>
      </c>
      <c r="H9" s="60" t="s">
        <v>123</v>
      </c>
      <c r="I9" s="62">
        <v>2654</v>
      </c>
      <c r="J9" s="50">
        <v>83301228.600000083</v>
      </c>
      <c r="K9" s="50">
        <v>31387.049208741555</v>
      </c>
      <c r="L9" s="61">
        <v>1.3925691168677165E-2</v>
      </c>
      <c r="M9" s="61">
        <v>1.6812617622118313E-3</v>
      </c>
      <c r="O9" s="60" t="s">
        <v>341</v>
      </c>
      <c r="P9" s="74">
        <v>1</v>
      </c>
      <c r="Q9" s="65">
        <v>33065.64</v>
      </c>
      <c r="R9" s="50">
        <v>33065.64</v>
      </c>
      <c r="S9" s="61">
        <v>5.2470577123877785E-6</v>
      </c>
      <c r="T9" s="61">
        <v>6.6736105948696543E-7</v>
      </c>
      <c r="V9" s="49" t="s">
        <v>16</v>
      </c>
      <c r="W9" s="66" t="s">
        <v>116</v>
      </c>
      <c r="X9" s="60" t="s">
        <v>117</v>
      </c>
      <c r="Y9" s="65" t="s">
        <v>118</v>
      </c>
      <c r="Z9" s="60" t="s">
        <v>119</v>
      </c>
      <c r="AA9" s="60" t="s">
        <v>120</v>
      </c>
      <c r="AC9" s="60" t="s">
        <v>178</v>
      </c>
      <c r="AD9" s="74">
        <v>111619</v>
      </c>
      <c r="AE9" s="65">
        <v>25205772592.959648</v>
      </c>
      <c r="AF9" s="50">
        <v>225819.73134466039</v>
      </c>
      <c r="AG9" s="61">
        <v>0.58567133479901146</v>
      </c>
      <c r="AH9" s="61">
        <v>0.50872600992526218</v>
      </c>
      <c r="AJ9" s="60" t="s">
        <v>123</v>
      </c>
      <c r="AK9" s="74">
        <v>924</v>
      </c>
      <c r="AL9" s="65">
        <v>35566557.949999996</v>
      </c>
      <c r="AM9" s="50">
        <v>38491.945833333331</v>
      </c>
      <c r="AN9" s="61">
        <v>4.8482813262463072E-3</v>
      </c>
      <c r="AO9" s="61">
        <v>7.1783687827656044E-4</v>
      </c>
      <c r="AQ9" s="60" t="s">
        <v>210</v>
      </c>
      <c r="AR9" s="74">
        <v>184109</v>
      </c>
      <c r="AS9" s="74">
        <v>47804718760.949707</v>
      </c>
      <c r="AT9" s="50">
        <v>259654.43710491995</v>
      </c>
      <c r="AU9" s="61">
        <v>0.96603054837000157</v>
      </c>
      <c r="AV9" s="61">
        <v>0.96483865912723676</v>
      </c>
      <c r="AX9" s="60" t="s">
        <v>212</v>
      </c>
      <c r="AY9" s="74">
        <v>78964</v>
      </c>
      <c r="AZ9" s="65">
        <v>24341079939.040165</v>
      </c>
      <c r="BA9" s="62">
        <v>308255.40675548557</v>
      </c>
      <c r="BB9" s="61">
        <v>0.41432866520098854</v>
      </c>
      <c r="BC9" s="61">
        <v>0.49127399007473571</v>
      </c>
      <c r="BE9" s="78" t="s">
        <v>356</v>
      </c>
      <c r="BF9" s="74">
        <v>115</v>
      </c>
      <c r="BG9" s="65">
        <v>37102873.560000002</v>
      </c>
      <c r="BH9" s="50">
        <v>322633.68313043483</v>
      </c>
      <c r="BI9" s="61">
        <v>6.0341163692459454E-4</v>
      </c>
      <c r="BJ9" s="61">
        <v>7.488442083387006E-4</v>
      </c>
      <c r="BL9" s="60" t="s">
        <v>374</v>
      </c>
      <c r="BM9" s="74">
        <v>190583</v>
      </c>
      <c r="BN9" s="65">
        <v>49546852532.000084</v>
      </c>
      <c r="BO9" s="62">
        <v>259975.19470257097</v>
      </c>
      <c r="BP9" s="61">
        <v>1</v>
      </c>
      <c r="BQ9" s="61">
        <v>1</v>
      </c>
      <c r="BS9" s="60" t="s">
        <v>375</v>
      </c>
      <c r="BT9" s="74">
        <v>540</v>
      </c>
      <c r="BU9" s="65">
        <v>80412348.990000024</v>
      </c>
      <c r="BV9" s="50">
        <v>148911.75738888895</v>
      </c>
      <c r="BW9" s="61">
        <v>2.8334111646894002E-3</v>
      </c>
      <c r="BX9" s="61">
        <v>1.6229557455353133E-3</v>
      </c>
      <c r="BZ9" s="60" t="s">
        <v>266</v>
      </c>
      <c r="CA9" s="74">
        <v>3473</v>
      </c>
      <c r="CB9" s="65">
        <v>1044353443.0099999</v>
      </c>
      <c r="CC9" s="50">
        <v>300706.43334581051</v>
      </c>
      <c r="CD9" s="61">
        <v>1.8223031435122754E-2</v>
      </c>
      <c r="CE9" s="61">
        <v>2.1078098600420671E-2</v>
      </c>
      <c r="CG9" s="49" t="s">
        <v>10</v>
      </c>
      <c r="CH9" s="66" t="s">
        <v>116</v>
      </c>
      <c r="CI9" s="60" t="s">
        <v>117</v>
      </c>
      <c r="CJ9" s="65" t="s">
        <v>118</v>
      </c>
      <c r="CK9" s="60" t="s">
        <v>119</v>
      </c>
      <c r="CL9" s="60" t="s">
        <v>120</v>
      </c>
      <c r="CN9" s="49" t="s">
        <v>14</v>
      </c>
      <c r="CO9" s="66" t="s">
        <v>116</v>
      </c>
      <c r="CP9" s="60" t="s">
        <v>117</v>
      </c>
      <c r="CQ9" s="65" t="s">
        <v>118</v>
      </c>
      <c r="CR9" s="60" t="s">
        <v>119</v>
      </c>
      <c r="CS9" s="60" t="s">
        <v>120</v>
      </c>
    </row>
    <row r="10" spans="1:97" x14ac:dyDescent="0.25">
      <c r="A10" s="60" t="s">
        <v>230</v>
      </c>
      <c r="B10" s="74">
        <v>3458</v>
      </c>
      <c r="C10" s="65">
        <v>53242720.56999997</v>
      </c>
      <c r="D10" s="50">
        <v>15396.969511278186</v>
      </c>
      <c r="E10" s="61">
        <v>1.8144325569436938E-2</v>
      </c>
      <c r="F10" s="61">
        <v>1.0745933969390472E-3</v>
      </c>
      <c r="H10" s="60" t="s">
        <v>189</v>
      </c>
      <c r="I10" s="62">
        <v>4812</v>
      </c>
      <c r="J10" s="50">
        <v>291596763.950001</v>
      </c>
      <c r="K10" s="50">
        <v>60597.83124480486</v>
      </c>
      <c r="L10" s="61">
        <v>2.524884171200999E-2</v>
      </c>
      <c r="M10" s="61">
        <v>5.8852732120909627E-3</v>
      </c>
      <c r="O10" s="60" t="s">
        <v>145</v>
      </c>
      <c r="P10" s="74">
        <v>7</v>
      </c>
      <c r="Q10" s="65">
        <v>1815677.6300000001</v>
      </c>
      <c r="R10" s="50">
        <v>259382.51857142858</v>
      </c>
      <c r="S10" s="61">
        <v>3.6729403986714449E-5</v>
      </c>
      <c r="T10" s="61">
        <v>3.6645670455602324E-5</v>
      </c>
      <c r="V10" s="60" t="s">
        <v>164</v>
      </c>
      <c r="W10" s="74">
        <v>12790</v>
      </c>
      <c r="X10" s="65">
        <v>3832847835.1199965</v>
      </c>
      <c r="Y10" s="50">
        <v>299675.35849257204</v>
      </c>
      <c r="Z10" s="61">
        <v>6.7109868141439682E-2</v>
      </c>
      <c r="AA10" s="61">
        <v>7.7358048781091371E-2</v>
      </c>
      <c r="AC10" s="60" t="s">
        <v>179</v>
      </c>
      <c r="AD10" s="74">
        <v>1090</v>
      </c>
      <c r="AE10" s="65">
        <v>303685068.63000005</v>
      </c>
      <c r="AF10" s="50">
        <v>278610.15470642206</v>
      </c>
      <c r="AG10" s="61">
        <v>5.7192929065026784E-3</v>
      </c>
      <c r="AH10" s="61">
        <v>6.1292504591258356E-3</v>
      </c>
      <c r="AJ10" s="60" t="s">
        <v>189</v>
      </c>
      <c r="AK10" s="74">
        <v>2888</v>
      </c>
      <c r="AL10" s="65">
        <v>169130493.59000018</v>
      </c>
      <c r="AM10" s="50">
        <v>58563.190301246599</v>
      </c>
      <c r="AN10" s="61">
        <v>1.5153502673375905E-2</v>
      </c>
      <c r="AO10" s="61">
        <v>3.4135466724302334E-3</v>
      </c>
      <c r="AQ10" s="60" t="s">
        <v>211</v>
      </c>
      <c r="AR10" s="74">
        <v>6474</v>
      </c>
      <c r="AS10" s="74">
        <v>1742133771.0499978</v>
      </c>
      <c r="AT10" s="50">
        <v>269096.96803367283</v>
      </c>
      <c r="AU10" s="61">
        <v>3.3969451629998482E-2</v>
      </c>
      <c r="AV10" s="61">
        <v>3.5161340872759551E-2</v>
      </c>
      <c r="AX10" s="60" t="s">
        <v>213</v>
      </c>
      <c r="AY10" s="74">
        <v>111619</v>
      </c>
      <c r="AZ10" s="65">
        <v>25205772592.959797</v>
      </c>
      <c r="BA10" s="62">
        <v>225819.73134466173</v>
      </c>
      <c r="BB10" s="61">
        <v>0.58567133479901146</v>
      </c>
      <c r="BC10" s="61">
        <v>0.5087260099252634</v>
      </c>
      <c r="BE10" s="78" t="s">
        <v>357</v>
      </c>
      <c r="BF10" s="74">
        <v>38</v>
      </c>
      <c r="BG10" s="65">
        <v>11195609.98</v>
      </c>
      <c r="BH10" s="50">
        <v>294621.31526315789</v>
      </c>
      <c r="BI10" s="61">
        <v>1.9938819307073558E-4</v>
      </c>
      <c r="BJ10" s="61">
        <v>2.2596006421940208E-4</v>
      </c>
      <c r="BL10" s="72" t="s">
        <v>412</v>
      </c>
      <c r="BM10" s="74">
        <v>4261</v>
      </c>
      <c r="BN10" s="65">
        <v>1071049388.6000001</v>
      </c>
      <c r="BO10" s="62">
        <v>251361.03933348981</v>
      </c>
      <c r="BP10" s="61">
        <v>2.2357712912484326E-2</v>
      </c>
      <c r="BQ10" s="61">
        <v>2.1616900647891964E-2</v>
      </c>
      <c r="BS10" s="60" t="s">
        <v>376</v>
      </c>
      <c r="BT10" s="74">
        <v>809</v>
      </c>
      <c r="BU10" s="65">
        <v>200650817.53999984</v>
      </c>
      <c r="BV10" s="50">
        <v>248023.2602472186</v>
      </c>
      <c r="BW10" s="61">
        <v>4.2448696893217126E-3</v>
      </c>
      <c r="BX10" s="61">
        <v>4.0497187467238103E-3</v>
      </c>
      <c r="BZ10" s="60" t="s">
        <v>267</v>
      </c>
      <c r="CA10" s="74">
        <v>12940</v>
      </c>
      <c r="CB10" s="65">
        <v>3876072561.6100101</v>
      </c>
      <c r="CC10" s="50">
        <v>299541.9290270487</v>
      </c>
      <c r="CD10" s="61">
        <v>6.7896926798297855E-2</v>
      </c>
      <c r="CE10" s="61">
        <v>7.8230449837487281E-2</v>
      </c>
      <c r="CG10" s="60" t="s">
        <v>296</v>
      </c>
      <c r="CH10" s="74">
        <v>3423</v>
      </c>
      <c r="CI10" s="65">
        <v>819836367.9700017</v>
      </c>
      <c r="CJ10" s="50">
        <v>239508.14138767213</v>
      </c>
      <c r="CK10" s="61">
        <v>0.156272826880935</v>
      </c>
      <c r="CL10" s="61">
        <v>0.14671955353400348</v>
      </c>
      <c r="CN10" s="60" t="s">
        <v>420</v>
      </c>
      <c r="CO10" s="74">
        <v>868</v>
      </c>
      <c r="CP10" s="65">
        <v>212442737.41999999</v>
      </c>
      <c r="CQ10" s="50">
        <v>244749.69748847926</v>
      </c>
      <c r="CR10" s="61">
        <v>3.4945046096863802E-2</v>
      </c>
      <c r="CS10" s="61">
        <v>3.4120266704757769E-2</v>
      </c>
    </row>
    <row r="11" spans="1:97" x14ac:dyDescent="0.25">
      <c r="A11" s="60" t="s">
        <v>231</v>
      </c>
      <c r="B11" s="74">
        <v>4181</v>
      </c>
      <c r="C11" s="65">
        <v>105755157.29000019</v>
      </c>
      <c r="D11" s="50">
        <v>25294.225613489642</v>
      </c>
      <c r="E11" s="61">
        <v>2.1937948295493302E-2</v>
      </c>
      <c r="F11" s="61">
        <v>2.1344475357278798E-3</v>
      </c>
      <c r="H11" s="60" t="s">
        <v>190</v>
      </c>
      <c r="I11" s="62">
        <v>5093</v>
      </c>
      <c r="J11" s="50">
        <v>502133052.53000021</v>
      </c>
      <c r="K11" s="50">
        <v>98592.784710386841</v>
      </c>
      <c r="L11" s="61">
        <v>2.6723264929190957E-2</v>
      </c>
      <c r="M11" s="61">
        <v>1.0134509597873967E-2</v>
      </c>
      <c r="O11" s="60" t="s">
        <v>146</v>
      </c>
      <c r="P11" s="74">
        <v>18</v>
      </c>
      <c r="Q11" s="65">
        <v>5291732.57</v>
      </c>
      <c r="R11" s="50">
        <v>293985.1427777778</v>
      </c>
      <c r="S11" s="61">
        <v>9.4447038822980013E-5</v>
      </c>
      <c r="T11" s="61">
        <v>1.0680259793661585E-4</v>
      </c>
      <c r="V11" s="60" t="s">
        <v>165</v>
      </c>
      <c r="W11" s="74">
        <v>21187</v>
      </c>
      <c r="X11" s="65">
        <v>6578921683.2100163</v>
      </c>
      <c r="Y11" s="50">
        <v>310516.90580119961</v>
      </c>
      <c r="Z11" s="61">
        <v>0.11116941175235986</v>
      </c>
      <c r="AA11" s="61">
        <v>0.13278182865321259</v>
      </c>
      <c r="AC11" s="60" t="s">
        <v>180</v>
      </c>
      <c r="AD11" s="74">
        <v>881</v>
      </c>
      <c r="AE11" s="65">
        <v>244986284.59999985</v>
      </c>
      <c r="AF11" s="50">
        <v>278077.50805902365</v>
      </c>
      <c r="AG11" s="61">
        <v>4.622657844613633E-3</v>
      </c>
      <c r="AH11" s="61">
        <v>4.9445377875774344E-3</v>
      </c>
      <c r="AJ11" s="60" t="s">
        <v>190</v>
      </c>
      <c r="AK11" s="74">
        <v>3784</v>
      </c>
      <c r="AL11" s="65">
        <v>342800632.30000049</v>
      </c>
      <c r="AM11" s="50">
        <v>90592.133271670318</v>
      </c>
      <c r="AN11" s="61">
        <v>1.9854866383675354E-2</v>
      </c>
      <c r="AO11" s="61">
        <v>6.9187166244031612E-3</v>
      </c>
      <c r="AQ11" s="60" t="s">
        <v>122</v>
      </c>
      <c r="AR11" s="74">
        <v>190583</v>
      </c>
      <c r="AS11" s="74">
        <v>49546852532.000053</v>
      </c>
      <c r="AT11" s="50">
        <v>259975.19470257082</v>
      </c>
      <c r="AU11" s="61">
        <v>1</v>
      </c>
      <c r="AV11" s="61">
        <v>1.0000000000000033</v>
      </c>
      <c r="AX11" s="60" t="s">
        <v>122</v>
      </c>
      <c r="AY11" s="74">
        <v>190583</v>
      </c>
      <c r="AZ11" s="65">
        <v>49546852532.000053</v>
      </c>
      <c r="BA11" s="62">
        <v>259975.19470257082</v>
      </c>
      <c r="BB11" s="61">
        <v>1</v>
      </c>
      <c r="BC11" s="61">
        <v>1.0000000000000009</v>
      </c>
      <c r="BE11" s="78" t="s">
        <v>358</v>
      </c>
      <c r="BF11" s="74">
        <v>1</v>
      </c>
      <c r="BG11" s="65">
        <v>409500</v>
      </c>
      <c r="BH11" s="50">
        <v>409500</v>
      </c>
      <c r="BI11" s="61">
        <v>5.2470577123877785E-6</v>
      </c>
      <c r="BJ11" s="61">
        <v>8.2649044101342615E-6</v>
      </c>
      <c r="BL11" s="72" t="s">
        <v>411</v>
      </c>
      <c r="BM11" s="74">
        <v>57407</v>
      </c>
      <c r="BN11" s="65">
        <v>16128862120.980009</v>
      </c>
      <c r="BO11" s="62">
        <v>280956.3663138643</v>
      </c>
      <c r="BP11" s="61">
        <v>0.30121784209504521</v>
      </c>
      <c r="BQ11" s="61">
        <v>0.32552748149971994</v>
      </c>
      <c r="BS11" s="60" t="s">
        <v>377</v>
      </c>
      <c r="BT11" s="74">
        <v>13469</v>
      </c>
      <c r="BU11" s="65">
        <v>3084632824.1300015</v>
      </c>
      <c r="BV11" s="50">
        <v>229017.21168089699</v>
      </c>
      <c r="BW11" s="61">
        <v>7.0672620328150984E-2</v>
      </c>
      <c r="BX11" s="61">
        <v>6.2256887501336053E-2</v>
      </c>
      <c r="BZ11" s="60" t="s">
        <v>268</v>
      </c>
      <c r="CA11" s="74">
        <v>10776</v>
      </c>
      <c r="CB11" s="65">
        <v>3502468412.7899957</v>
      </c>
      <c r="CC11" s="50">
        <v>325024.90838808421</v>
      </c>
      <c r="CD11" s="61">
        <v>5.6542293908690699E-2</v>
      </c>
      <c r="CE11" s="61">
        <v>7.0690028403477503E-2</v>
      </c>
      <c r="CG11" s="60" t="s">
        <v>266</v>
      </c>
      <c r="CH11" s="74">
        <v>6865</v>
      </c>
      <c r="CI11" s="65">
        <v>1697475375.1899981</v>
      </c>
      <c r="CJ11" s="50">
        <v>247265.16754406382</v>
      </c>
      <c r="CK11" s="61">
        <v>0.31341307523739959</v>
      </c>
      <c r="CL11" s="61">
        <v>0.3037835828136311</v>
      </c>
      <c r="CN11" s="60" t="s">
        <v>421</v>
      </c>
      <c r="CO11" s="74">
        <v>899</v>
      </c>
      <c r="CP11" s="65">
        <v>201645577.47999999</v>
      </c>
      <c r="CQ11" s="50">
        <v>224299.86371523913</v>
      </c>
      <c r="CR11" s="61">
        <v>3.619308345746608E-2</v>
      </c>
      <c r="CS11" s="61">
        <v>3.2386143047339472E-2</v>
      </c>
    </row>
    <row r="12" spans="1:97" x14ac:dyDescent="0.25">
      <c r="A12" s="60" t="s">
        <v>232</v>
      </c>
      <c r="B12" s="74">
        <v>3988</v>
      </c>
      <c r="C12" s="65">
        <v>141210501.57999992</v>
      </c>
      <c r="D12" s="50">
        <v>35408.851950852535</v>
      </c>
      <c r="E12" s="61">
        <v>2.0925266157002461E-2</v>
      </c>
      <c r="F12" s="61">
        <v>2.8500397979629179E-3</v>
      </c>
      <c r="H12" s="60" t="s">
        <v>193</v>
      </c>
      <c r="I12" s="62">
        <v>5720</v>
      </c>
      <c r="J12" s="50">
        <v>768162995.26000023</v>
      </c>
      <c r="K12" s="50">
        <v>134294.22994055948</v>
      </c>
      <c r="L12" s="61">
        <v>3.0013170114858094E-2</v>
      </c>
      <c r="M12" s="61">
        <v>1.5503769785656502E-2</v>
      </c>
      <c r="O12" s="60" t="s">
        <v>147</v>
      </c>
      <c r="P12" s="74">
        <v>29</v>
      </c>
      <c r="Q12" s="65">
        <v>8263264.3400000008</v>
      </c>
      <c r="R12" s="50">
        <v>284940.14965517243</v>
      </c>
      <c r="S12" s="61">
        <v>1.5216467365924559E-4</v>
      </c>
      <c r="T12" s="61">
        <v>1.6677677627782979E-4</v>
      </c>
      <c r="V12" s="60" t="s">
        <v>166</v>
      </c>
      <c r="W12" s="74">
        <v>14736</v>
      </c>
      <c r="X12" s="65">
        <v>4660918779.4100113</v>
      </c>
      <c r="Y12" s="50">
        <v>316294.70544313325</v>
      </c>
      <c r="Z12" s="61">
        <v>7.7320642449746305E-2</v>
      </c>
      <c r="AA12" s="61">
        <v>9.4070935714831563E-2</v>
      </c>
      <c r="AC12" s="60" t="s">
        <v>181</v>
      </c>
      <c r="AD12" s="74">
        <v>1767</v>
      </c>
      <c r="AE12" s="65">
        <v>497207045.11000013</v>
      </c>
      <c r="AF12" s="50">
        <v>281384.85857951338</v>
      </c>
      <c r="AG12" s="61">
        <v>9.2715509777892054E-3</v>
      </c>
      <c r="AH12" s="61">
        <v>1.0035088400194118E-2</v>
      </c>
      <c r="AJ12" s="60" t="s">
        <v>193</v>
      </c>
      <c r="AK12" s="74">
        <v>4565</v>
      </c>
      <c r="AL12" s="65">
        <v>559191181.31000006</v>
      </c>
      <c r="AM12" s="50">
        <v>122495.32996933188</v>
      </c>
      <c r="AN12" s="61">
        <v>2.3952818457050207E-2</v>
      </c>
      <c r="AO12" s="61">
        <v>1.128610906109211E-2</v>
      </c>
      <c r="BE12" s="78" t="s">
        <v>359</v>
      </c>
      <c r="BF12" s="74">
        <v>144919</v>
      </c>
      <c r="BG12" s="65">
        <v>37125083851.210098</v>
      </c>
      <c r="BH12" s="50">
        <v>256178.1674674135</v>
      </c>
      <c r="BI12" s="61">
        <v>0.76039835662152444</v>
      </c>
      <c r="BJ12" s="61">
        <v>0.74929247679724198</v>
      </c>
      <c r="BL12" s="72" t="s">
        <v>413</v>
      </c>
      <c r="BM12" s="74">
        <v>1746</v>
      </c>
      <c r="BN12" s="65">
        <v>433453996.39999974</v>
      </c>
      <c r="BO12" s="62">
        <v>248255.4389461625</v>
      </c>
      <c r="BP12" s="61">
        <v>9.1613627658290609E-3</v>
      </c>
      <c r="BQ12" s="61">
        <v>8.748365925364307E-3</v>
      </c>
      <c r="BS12" s="60" t="s">
        <v>378</v>
      </c>
      <c r="BT12" s="74">
        <v>8606</v>
      </c>
      <c r="BU12" s="65">
        <v>1607359975.740006</v>
      </c>
      <c r="BV12" s="50">
        <v>186772.01670230142</v>
      </c>
      <c r="BW12" s="61">
        <v>4.5156178672809223E-2</v>
      </c>
      <c r="BX12" s="61">
        <v>3.2441212581604296E-2</v>
      </c>
      <c r="BZ12" s="60" t="s">
        <v>269</v>
      </c>
      <c r="CA12" s="74">
        <v>11553</v>
      </c>
      <c r="CB12" s="65">
        <v>3937506674.5799994</v>
      </c>
      <c r="CC12" s="50">
        <v>340821.14382238378</v>
      </c>
      <c r="CD12" s="61">
        <v>6.0619257751216009E-2</v>
      </c>
      <c r="CE12" s="61">
        <v>7.9470369425322082E-2</v>
      </c>
      <c r="CG12" s="60" t="s">
        <v>267</v>
      </c>
      <c r="CH12" s="74">
        <v>6783</v>
      </c>
      <c r="CI12" s="65">
        <v>1788602108.3700011</v>
      </c>
      <c r="CJ12" s="50">
        <v>263688.94417956669</v>
      </c>
      <c r="CK12" s="61">
        <v>0.30966946676406137</v>
      </c>
      <c r="CL12" s="61">
        <v>0.32009180495348077</v>
      </c>
      <c r="CN12" s="60" t="s">
        <v>422</v>
      </c>
      <c r="CO12" s="74">
        <v>719</v>
      </c>
      <c r="CP12" s="65">
        <v>163788259.90000001</v>
      </c>
      <c r="CQ12" s="50">
        <v>227800.08331015299</v>
      </c>
      <c r="CR12" s="61">
        <v>2.8946414912033494E-2</v>
      </c>
      <c r="CS12" s="61">
        <v>2.6305908023806442E-2</v>
      </c>
    </row>
    <row r="13" spans="1:97" x14ac:dyDescent="0.25">
      <c r="A13" s="60" t="s">
        <v>233</v>
      </c>
      <c r="B13" s="74">
        <v>4858</v>
      </c>
      <c r="C13" s="65">
        <v>223069921.50000057</v>
      </c>
      <c r="D13" s="50">
        <v>45918.057122272658</v>
      </c>
      <c r="E13" s="61">
        <v>2.5490206366779827E-2</v>
      </c>
      <c r="F13" s="61">
        <v>4.5022016556133387E-3</v>
      </c>
      <c r="H13" s="60" t="s">
        <v>194</v>
      </c>
      <c r="I13" s="62">
        <v>6637</v>
      </c>
      <c r="J13" s="50">
        <v>1095620699.4300015</v>
      </c>
      <c r="K13" s="50">
        <v>165077.70068253751</v>
      </c>
      <c r="L13" s="61">
        <v>3.4824722037117686E-2</v>
      </c>
      <c r="M13" s="61">
        <v>2.2112821368872843E-2</v>
      </c>
      <c r="O13" s="60" t="s">
        <v>148</v>
      </c>
      <c r="P13" s="74">
        <v>386</v>
      </c>
      <c r="Q13" s="65">
        <v>142900614.34999999</v>
      </c>
      <c r="R13" s="50">
        <v>370208.84546632122</v>
      </c>
      <c r="S13" s="61">
        <v>2.0253642769816824E-3</v>
      </c>
      <c r="T13" s="61">
        <v>2.8841512033021058E-3</v>
      </c>
      <c r="V13" s="60" t="s">
        <v>167</v>
      </c>
      <c r="W13" s="74">
        <v>11853</v>
      </c>
      <c r="X13" s="65">
        <v>3551838810.9399972</v>
      </c>
      <c r="Y13" s="50">
        <v>299657.37036530813</v>
      </c>
      <c r="Z13" s="61">
        <v>6.2193375064932339E-2</v>
      </c>
      <c r="AA13" s="61">
        <v>7.1686467039375104E-2</v>
      </c>
      <c r="AC13" s="60" t="s">
        <v>182</v>
      </c>
      <c r="AD13" s="74">
        <v>5563</v>
      </c>
      <c r="AE13" s="65">
        <v>1674340940.5700009</v>
      </c>
      <c r="AF13" s="50">
        <v>300978.05870393687</v>
      </c>
      <c r="AG13" s="61">
        <v>2.918938205401321E-2</v>
      </c>
      <c r="AH13" s="61">
        <v>3.3793083818767861E-2</v>
      </c>
      <c r="AJ13" s="60" t="s">
        <v>194</v>
      </c>
      <c r="AK13" s="74">
        <v>5572</v>
      </c>
      <c r="AL13" s="65">
        <v>849393379.05000031</v>
      </c>
      <c r="AM13" s="50">
        <v>152439.58705132813</v>
      </c>
      <c r="AN13" s="61">
        <v>2.9236605573424702E-2</v>
      </c>
      <c r="AO13" s="61">
        <v>1.7143235859460825E-2</v>
      </c>
      <c r="BE13" s="78" t="s">
        <v>360</v>
      </c>
      <c r="BF13" s="74">
        <v>1451</v>
      </c>
      <c r="BG13" s="65">
        <v>367782130.59999979</v>
      </c>
      <c r="BH13" s="50">
        <v>253468.04314266008</v>
      </c>
      <c r="BI13" s="61">
        <v>7.6134807406746663E-3</v>
      </c>
      <c r="BJ13" s="61">
        <v>7.4229161249438659E-3</v>
      </c>
      <c r="BL13" s="72" t="s">
        <v>414</v>
      </c>
      <c r="BM13" s="74">
        <v>48703</v>
      </c>
      <c r="BN13" s="65">
        <v>11374456717.469971</v>
      </c>
      <c r="BO13" s="62">
        <v>233547.35267786318</v>
      </c>
      <c r="BP13" s="61">
        <v>0.25554745176642196</v>
      </c>
      <c r="BQ13" s="61">
        <v>0.22956971303320872</v>
      </c>
      <c r="BS13" s="60" t="s">
        <v>379</v>
      </c>
      <c r="BT13" s="74">
        <v>3166</v>
      </c>
      <c r="BU13" s="65">
        <v>736930184.56000018</v>
      </c>
      <c r="BV13" s="50">
        <v>232763.79802905882</v>
      </c>
      <c r="BW13" s="61">
        <v>1.6612184717419706E-2</v>
      </c>
      <c r="BX13" s="61">
        <v>1.4873400567352967E-2</v>
      </c>
      <c r="BZ13" s="60" t="s">
        <v>270</v>
      </c>
      <c r="CA13" s="74">
        <v>3472</v>
      </c>
      <c r="CB13" s="65">
        <v>973644388.91000104</v>
      </c>
      <c r="CC13" s="50">
        <v>280427.53136808786</v>
      </c>
      <c r="CD13" s="61">
        <v>1.8217784377410368E-2</v>
      </c>
      <c r="CE13" s="61">
        <v>1.9650983647874876E-2</v>
      </c>
      <c r="CG13" s="60" t="s">
        <v>268</v>
      </c>
      <c r="CH13" s="74">
        <v>4146</v>
      </c>
      <c r="CI13" s="65">
        <v>1143061614.2199986</v>
      </c>
      <c r="CJ13" s="50">
        <v>275702.2706753494</v>
      </c>
      <c r="CK13" s="61">
        <v>0.18928049671292915</v>
      </c>
      <c r="CL13" s="61">
        <v>0.20456458904778924</v>
      </c>
      <c r="CN13" s="60" t="s">
        <v>423</v>
      </c>
      <c r="CO13" s="74">
        <v>819</v>
      </c>
      <c r="CP13" s="65">
        <v>188748447.51000008</v>
      </c>
      <c r="CQ13" s="50">
        <v>230462.08487179497</v>
      </c>
      <c r="CR13" s="61">
        <v>3.2972341881718263E-2</v>
      </c>
      <c r="CS13" s="61">
        <v>3.0314744798349981E-2</v>
      </c>
    </row>
    <row r="14" spans="1:97" x14ac:dyDescent="0.25">
      <c r="A14" s="60" t="s">
        <v>234</v>
      </c>
      <c r="B14" s="74">
        <v>3932</v>
      </c>
      <c r="C14" s="65">
        <v>217524334.05000073</v>
      </c>
      <c r="D14" s="50">
        <v>55321.549860122257</v>
      </c>
      <c r="E14" s="61">
        <v>2.0631430925108746E-2</v>
      </c>
      <c r="F14" s="61">
        <v>4.3902755257664789E-3</v>
      </c>
      <c r="H14" s="60" t="s">
        <v>195</v>
      </c>
      <c r="I14" s="62">
        <v>7435</v>
      </c>
      <c r="J14" s="50">
        <v>1428628412.2599978</v>
      </c>
      <c r="K14" s="50">
        <v>192149.08033086723</v>
      </c>
      <c r="L14" s="61">
        <v>3.9011874091603137E-2</v>
      </c>
      <c r="M14" s="61">
        <v>2.8833888314849322E-2</v>
      </c>
      <c r="O14" s="60" t="s">
        <v>149</v>
      </c>
      <c r="P14" s="74">
        <v>26702</v>
      </c>
      <c r="Q14" s="65">
        <v>9636761072.4199734</v>
      </c>
      <c r="R14" s="50">
        <v>360900.34725563531</v>
      </c>
      <c r="S14" s="61">
        <v>0.14010693503617846</v>
      </c>
      <c r="T14" s="61">
        <v>0.19449794648804433</v>
      </c>
      <c r="V14" s="60" t="s">
        <v>168</v>
      </c>
      <c r="W14" s="74">
        <v>30708</v>
      </c>
      <c r="X14" s="65">
        <v>8469688083.1599655</v>
      </c>
      <c r="Y14" s="50">
        <v>275813.73202943744</v>
      </c>
      <c r="Z14" s="61">
        <v>0.1611266482320039</v>
      </c>
      <c r="AA14" s="61">
        <v>0.17094300950175975</v>
      </c>
      <c r="AC14" s="60" t="s">
        <v>183</v>
      </c>
      <c r="AD14" s="74">
        <v>7088</v>
      </c>
      <c r="AE14" s="65">
        <v>2103147767.4199989</v>
      </c>
      <c r="AF14" s="50">
        <v>296719.49314616236</v>
      </c>
      <c r="AG14" s="61">
        <v>3.7191145065404572E-2</v>
      </c>
      <c r="AH14" s="61">
        <v>4.2447656307969935E-2</v>
      </c>
      <c r="AJ14" s="60" t="s">
        <v>195</v>
      </c>
      <c r="AK14" s="74">
        <v>6576</v>
      </c>
      <c r="AL14" s="65">
        <v>1185505640.109998</v>
      </c>
      <c r="AM14" s="50">
        <v>180277.62167122841</v>
      </c>
      <c r="AN14" s="61">
        <v>3.450465151666203E-2</v>
      </c>
      <c r="AO14" s="61">
        <v>2.392696164391743E-2</v>
      </c>
      <c r="AX14" s="6"/>
      <c r="AY14" s="6"/>
      <c r="AZ14" s="6"/>
      <c r="BA14" s="50"/>
      <c r="BB14" s="6"/>
      <c r="BC14" s="6"/>
      <c r="BE14" s="78" t="s">
        <v>361</v>
      </c>
      <c r="BF14" s="74">
        <v>40</v>
      </c>
      <c r="BG14" s="65">
        <v>12128360.920000004</v>
      </c>
      <c r="BH14" s="50">
        <v>303209.0230000001</v>
      </c>
      <c r="BI14" s="61">
        <v>2.0988230849551114E-4</v>
      </c>
      <c r="BJ14" s="61">
        <v>2.4478569879220527E-4</v>
      </c>
      <c r="BL14" s="72" t="s">
        <v>415</v>
      </c>
      <c r="BM14" s="74">
        <v>9799</v>
      </c>
      <c r="BN14" s="65">
        <v>1989961913.3500006</v>
      </c>
      <c r="BO14" s="62">
        <v>203078.06034799476</v>
      </c>
      <c r="BP14" s="61">
        <v>5.1415918523687841E-2</v>
      </c>
      <c r="BQ14" s="61">
        <v>4.0163235637718335E-2</v>
      </c>
      <c r="BS14" s="60" t="s">
        <v>380</v>
      </c>
      <c r="BT14" s="74">
        <v>184</v>
      </c>
      <c r="BU14" s="65">
        <v>23297851.34</v>
      </c>
      <c r="BV14" s="50">
        <v>126618.7572826087</v>
      </c>
      <c r="BW14" s="61">
        <v>9.6545861907935124E-4</v>
      </c>
      <c r="BX14" s="61">
        <v>4.702185941065193E-4</v>
      </c>
      <c r="BZ14" s="60" t="s">
        <v>271</v>
      </c>
      <c r="CA14" s="74">
        <v>558</v>
      </c>
      <c r="CB14" s="65">
        <v>111941812.79999997</v>
      </c>
      <c r="CC14" s="50">
        <v>200612.56774193543</v>
      </c>
      <c r="CD14" s="61">
        <v>2.9278582035123803E-3</v>
      </c>
      <c r="CE14" s="61">
        <v>2.2593122888623822E-3</v>
      </c>
      <c r="CG14" s="60" t="s">
        <v>269</v>
      </c>
      <c r="CH14" s="74">
        <v>384</v>
      </c>
      <c r="CI14" s="65">
        <v>79372391.459999979</v>
      </c>
      <c r="CJ14" s="50">
        <v>206698.93609374994</v>
      </c>
      <c r="CK14" s="61">
        <v>1.7531044558071585E-2</v>
      </c>
      <c r="CL14" s="61">
        <v>1.4204641673524128E-2</v>
      </c>
      <c r="CN14" s="60" t="s">
        <v>424</v>
      </c>
      <c r="CO14" s="74">
        <v>580</v>
      </c>
      <c r="CP14" s="65">
        <v>144782838.71000004</v>
      </c>
      <c r="CQ14" s="50">
        <v>249625.58398275869</v>
      </c>
      <c r="CR14" s="61">
        <v>2.3350376424171666E-2</v>
      </c>
      <c r="CS14" s="61">
        <v>2.32534617612777E-2</v>
      </c>
    </row>
    <row r="15" spans="1:97" x14ac:dyDescent="0.25">
      <c r="A15" s="60" t="s">
        <v>235</v>
      </c>
      <c r="B15" s="74">
        <v>3861</v>
      </c>
      <c r="C15" s="65">
        <v>252646520.31000039</v>
      </c>
      <c r="D15" s="50">
        <v>65435.514195804295</v>
      </c>
      <c r="E15" s="61">
        <v>2.0258889827529214E-2</v>
      </c>
      <c r="F15" s="61">
        <v>5.0991436872166104E-3</v>
      </c>
      <c r="H15" s="60" t="s">
        <v>196</v>
      </c>
      <c r="I15" s="62">
        <v>8369</v>
      </c>
      <c r="J15" s="50">
        <v>1798261107.9800057</v>
      </c>
      <c r="K15" s="50">
        <v>214871.68215796459</v>
      </c>
      <c r="L15" s="61">
        <v>4.3912625994973316E-2</v>
      </c>
      <c r="M15" s="61">
        <v>3.6294154241555347E-2</v>
      </c>
      <c r="O15" s="60" t="s">
        <v>150</v>
      </c>
      <c r="P15" s="74">
        <v>123907</v>
      </c>
      <c r="Q15" s="65">
        <v>32289959855.290115</v>
      </c>
      <c r="R15" s="50">
        <v>260598.35082190769</v>
      </c>
      <c r="S15" s="61">
        <v>0.65014717996883242</v>
      </c>
      <c r="T15" s="61">
        <v>0.65170557169974608</v>
      </c>
      <c r="V15" s="60" t="s">
        <v>169</v>
      </c>
      <c r="W15" s="74">
        <v>24995</v>
      </c>
      <c r="X15" s="65">
        <v>6481891484.3799524</v>
      </c>
      <c r="Y15" s="50">
        <v>259327.52488017414</v>
      </c>
      <c r="Z15" s="61">
        <v>0.13115020752113252</v>
      </c>
      <c r="AA15" s="61">
        <v>0.13082347622775031</v>
      </c>
      <c r="AC15" s="60" t="s">
        <v>184</v>
      </c>
      <c r="AD15" s="74">
        <v>15508</v>
      </c>
      <c r="AE15" s="65">
        <v>4832757958.2300158</v>
      </c>
      <c r="AF15" s="50">
        <v>311629.99472723855</v>
      </c>
      <c r="AG15" s="61">
        <v>8.1371371003709669E-2</v>
      </c>
      <c r="AH15" s="61">
        <v>9.7539151555767936E-2</v>
      </c>
      <c r="AJ15" s="60" t="s">
        <v>196</v>
      </c>
      <c r="AK15" s="74">
        <v>7492</v>
      </c>
      <c r="AL15" s="65">
        <v>1518263124.3499987</v>
      </c>
      <c r="AM15" s="50">
        <v>202651.24457421232</v>
      </c>
      <c r="AN15" s="61">
        <v>3.9310956381209239E-2</v>
      </c>
      <c r="AO15" s="61">
        <v>3.0642978247092941E-2</v>
      </c>
      <c r="AX15" s="13" t="s">
        <v>8</v>
      </c>
      <c r="AY15" s="10"/>
      <c r="AZ15" s="11"/>
      <c r="BA15" s="12"/>
      <c r="BB15" s="11"/>
      <c r="BC15" s="11"/>
      <c r="BE15" s="78" t="s">
        <v>362</v>
      </c>
      <c r="BF15" s="74">
        <v>90</v>
      </c>
      <c r="BG15" s="65">
        <v>20425320.979999997</v>
      </c>
      <c r="BH15" s="50">
        <v>226948.01088888885</v>
      </c>
      <c r="BI15" s="61">
        <v>4.7223519411490009E-4</v>
      </c>
      <c r="BJ15" s="61">
        <v>4.1224255298170898E-4</v>
      </c>
      <c r="BL15" s="72" t="s">
        <v>416</v>
      </c>
      <c r="BM15" s="74">
        <v>2223</v>
      </c>
      <c r="BN15" s="65">
        <v>376178058.27999979</v>
      </c>
      <c r="BO15" s="62">
        <v>169220.89891138094</v>
      </c>
      <c r="BP15" s="61">
        <v>1.1664209294638031E-2</v>
      </c>
      <c r="BQ15" s="61">
        <v>7.5923704343690305E-3</v>
      </c>
      <c r="BS15" s="60" t="s">
        <v>381</v>
      </c>
      <c r="BT15" s="74">
        <v>666</v>
      </c>
      <c r="BU15" s="65">
        <v>173622796.11000004</v>
      </c>
      <c r="BV15" s="50">
        <v>260694.88905405413</v>
      </c>
      <c r="BW15" s="61">
        <v>3.4945404364502605E-3</v>
      </c>
      <c r="BX15" s="61">
        <v>3.5042144402182914E-3</v>
      </c>
      <c r="BZ15" s="60" t="s">
        <v>272</v>
      </c>
      <c r="CA15" s="74">
        <v>824</v>
      </c>
      <c r="CB15" s="65">
        <v>177764206.19000003</v>
      </c>
      <c r="CC15" s="50">
        <v>215733.25993932041</v>
      </c>
      <c r="CD15" s="61">
        <v>4.3235755550075292E-3</v>
      </c>
      <c r="CE15" s="61">
        <v>3.5878001751007333E-3</v>
      </c>
      <c r="CG15" s="60" t="s">
        <v>270</v>
      </c>
      <c r="CH15" s="74">
        <v>303</v>
      </c>
      <c r="CI15" s="65">
        <v>59430650.990000017</v>
      </c>
      <c r="CJ15" s="50">
        <v>196140.76234323438</v>
      </c>
      <c r="CK15" s="61">
        <v>1.383308984660336E-2</v>
      </c>
      <c r="CL15" s="61">
        <v>1.0635827977573984E-2</v>
      </c>
      <c r="CN15" s="60" t="s">
        <v>297</v>
      </c>
      <c r="CO15" s="74">
        <v>716</v>
      </c>
      <c r="CP15" s="65">
        <v>167178029.74999994</v>
      </c>
      <c r="CQ15" s="50">
        <v>233488.86836592169</v>
      </c>
      <c r="CR15" s="61">
        <v>2.8825637102942954E-2</v>
      </c>
      <c r="CS15" s="61">
        <v>2.685033638485267E-2</v>
      </c>
    </row>
    <row r="16" spans="1:97" x14ac:dyDescent="0.25">
      <c r="A16" s="60" t="s">
        <v>236</v>
      </c>
      <c r="B16" s="74">
        <v>4224</v>
      </c>
      <c r="C16" s="65">
        <v>318465463.87000167</v>
      </c>
      <c r="D16" s="50">
        <v>75394.285954072373</v>
      </c>
      <c r="E16" s="61">
        <v>2.2163571777125978E-2</v>
      </c>
      <c r="F16" s="61">
        <v>6.427561945823286E-3</v>
      </c>
      <c r="H16" s="60" t="s">
        <v>197</v>
      </c>
      <c r="I16" s="62">
        <v>9570</v>
      </c>
      <c r="J16" s="50">
        <v>2222862057.5399995</v>
      </c>
      <c r="K16" s="50">
        <v>232273.9872037617</v>
      </c>
      <c r="L16" s="61">
        <v>5.0214342307551042E-2</v>
      </c>
      <c r="M16" s="61">
        <v>4.4863839859542155E-2</v>
      </c>
      <c r="O16" s="60" t="s">
        <v>151</v>
      </c>
      <c r="P16" s="74">
        <v>20408</v>
      </c>
      <c r="Q16" s="65">
        <v>3658539464.4499974</v>
      </c>
      <c r="R16" s="50">
        <v>179269.86791699321</v>
      </c>
      <c r="S16" s="61">
        <v>0.10708195379440978</v>
      </c>
      <c r="T16" s="61">
        <v>7.3839997446600927E-2</v>
      </c>
      <c r="V16" s="60" t="s">
        <v>170</v>
      </c>
      <c r="W16" s="74">
        <v>16502</v>
      </c>
      <c r="X16" s="65">
        <v>3810156519.2300153</v>
      </c>
      <c r="Y16" s="50">
        <v>230890.59018482702</v>
      </c>
      <c r="Z16" s="61">
        <v>8.6586946369823128E-2</v>
      </c>
      <c r="AA16" s="61">
        <v>7.6900071841479997E-2</v>
      </c>
      <c r="AC16" s="60" t="s">
        <v>185</v>
      </c>
      <c r="AD16" s="74">
        <v>11588</v>
      </c>
      <c r="AE16" s="65">
        <v>4001567405.7600026</v>
      </c>
      <c r="AF16" s="50">
        <v>345319.93491197814</v>
      </c>
      <c r="AG16" s="61">
        <v>6.080290477114958E-2</v>
      </c>
      <c r="AH16" s="61">
        <v>8.0763301829830478E-2</v>
      </c>
      <c r="AJ16" s="60" t="s">
        <v>197</v>
      </c>
      <c r="AK16" s="74">
        <v>8816</v>
      </c>
      <c r="AL16" s="65">
        <v>1938484944.1099999</v>
      </c>
      <c r="AM16" s="50">
        <v>219882.59347890198</v>
      </c>
      <c r="AN16" s="61">
        <v>4.6258060792410655E-2</v>
      </c>
      <c r="AO16" s="61">
        <v>3.9124280252878257E-2</v>
      </c>
      <c r="AX16" s="51" t="s">
        <v>43</v>
      </c>
      <c r="AY16" s="47" t="s" vm="4">
        <v>489</v>
      </c>
      <c r="AZ16" s="11"/>
      <c r="BA16" s="12"/>
      <c r="BB16" s="11"/>
      <c r="BC16" s="11"/>
      <c r="BE16" s="78" t="s">
        <v>363</v>
      </c>
      <c r="BF16" s="74">
        <v>22</v>
      </c>
      <c r="BG16" s="65">
        <v>7059694.4900000012</v>
      </c>
      <c r="BH16" s="50">
        <v>320895.20409090916</v>
      </c>
      <c r="BI16" s="61">
        <v>1.1543526967253113E-4</v>
      </c>
      <c r="BJ16" s="61">
        <v>1.4248522618950319E-4</v>
      </c>
      <c r="BL16" s="72" t="s">
        <v>417</v>
      </c>
      <c r="BM16" s="74">
        <v>45187</v>
      </c>
      <c r="BN16" s="65">
        <v>12350754260.610096</v>
      </c>
      <c r="BO16" s="62">
        <v>273325.38696107501</v>
      </c>
      <c r="BP16" s="61">
        <v>0.23709879684966656</v>
      </c>
      <c r="BQ16" s="61">
        <v>0.24927424507204166</v>
      </c>
      <c r="BS16" s="60" t="s">
        <v>382</v>
      </c>
      <c r="BT16" s="74">
        <v>9895</v>
      </c>
      <c r="BU16" s="65">
        <v>2767385380.4599948</v>
      </c>
      <c r="BV16" s="50">
        <v>279675.12687822082</v>
      </c>
      <c r="BW16" s="61">
        <v>5.1919636064077068E-2</v>
      </c>
      <c r="BX16" s="61">
        <v>5.5853908755812059E-2</v>
      </c>
      <c r="BZ16" s="60" t="s">
        <v>273</v>
      </c>
      <c r="CA16" s="74">
        <v>574</v>
      </c>
      <c r="CB16" s="65">
        <v>114404006.32999995</v>
      </c>
      <c r="CC16" s="50">
        <v>199310.1155574912</v>
      </c>
      <c r="CD16" s="61">
        <v>3.011811126910585E-3</v>
      </c>
      <c r="CE16" s="61">
        <v>2.3090065359068291E-3</v>
      </c>
      <c r="CG16" s="60" t="s">
        <v>122</v>
      </c>
      <c r="CH16" s="74">
        <v>21904</v>
      </c>
      <c r="CI16" s="65">
        <v>5587778508.1999702</v>
      </c>
      <c r="CJ16" s="50">
        <v>255103.10939554282</v>
      </c>
      <c r="CK16" s="61">
        <v>1</v>
      </c>
      <c r="CL16" s="61">
        <v>0.99999999999999745</v>
      </c>
      <c r="CN16" s="60" t="s">
        <v>298</v>
      </c>
      <c r="CO16" s="74">
        <v>873</v>
      </c>
      <c r="CP16" s="65">
        <v>208006052.12</v>
      </c>
      <c r="CQ16" s="50">
        <v>238265.80998854525</v>
      </c>
      <c r="CR16" s="61">
        <v>3.514634244534804E-2</v>
      </c>
      <c r="CS16" s="61">
        <v>3.3407694048429221E-2</v>
      </c>
    </row>
    <row r="17" spans="1:97" x14ac:dyDescent="0.25">
      <c r="A17" s="60" t="s">
        <v>237</v>
      </c>
      <c r="B17" s="74">
        <v>3996</v>
      </c>
      <c r="C17" s="65">
        <v>340815039.42000026</v>
      </c>
      <c r="D17" s="50">
        <v>85289.048903903968</v>
      </c>
      <c r="E17" s="61">
        <v>2.0967242618701563E-2</v>
      </c>
      <c r="F17" s="61">
        <v>6.8786415686018267E-3</v>
      </c>
      <c r="H17" s="60" t="s">
        <v>198</v>
      </c>
      <c r="I17" s="62">
        <v>10130</v>
      </c>
      <c r="J17" s="50">
        <v>2498895009.6699991</v>
      </c>
      <c r="K17" s="50">
        <v>246682.62681836123</v>
      </c>
      <c r="L17" s="61">
        <v>5.3152694626488195E-2</v>
      </c>
      <c r="M17" s="61">
        <v>5.0434989953319007E-2</v>
      </c>
      <c r="O17" s="60" t="s">
        <v>152</v>
      </c>
      <c r="P17" s="74">
        <v>1211</v>
      </c>
      <c r="Q17" s="65">
        <v>247551061.83000022</v>
      </c>
      <c r="R17" s="50">
        <v>204418.71331957079</v>
      </c>
      <c r="S17" s="61">
        <v>6.3541868897016001E-3</v>
      </c>
      <c r="T17" s="61">
        <v>4.9963024728991254E-3</v>
      </c>
      <c r="V17" s="60" t="s">
        <v>171</v>
      </c>
      <c r="W17" s="74">
        <v>18018</v>
      </c>
      <c r="X17" s="65">
        <v>4298564277.4500036</v>
      </c>
      <c r="Y17" s="50">
        <v>238570.55596903118</v>
      </c>
      <c r="Z17" s="61">
        <v>9.4541485861802999E-2</v>
      </c>
      <c r="AA17" s="61">
        <v>8.6757564966891923E-2</v>
      </c>
      <c r="AC17" s="60" t="s">
        <v>186</v>
      </c>
      <c r="AD17" s="74">
        <v>6967</v>
      </c>
      <c r="AE17" s="65">
        <v>2224945171.8399978</v>
      </c>
      <c r="AF17" s="50">
        <v>319354.84022391238</v>
      </c>
      <c r="AG17" s="61">
        <v>3.655625108220565E-2</v>
      </c>
      <c r="AH17" s="61">
        <v>4.4905883182045053E-2</v>
      </c>
      <c r="AJ17" s="60" t="s">
        <v>198</v>
      </c>
      <c r="AK17" s="74">
        <v>9447</v>
      </c>
      <c r="AL17" s="65">
        <v>2264180016.150002</v>
      </c>
      <c r="AM17" s="50">
        <v>239671.85520800276</v>
      </c>
      <c r="AN17" s="61">
        <v>4.9568954208927346E-2</v>
      </c>
      <c r="AO17" s="61">
        <v>4.5697756778549606E-2</v>
      </c>
      <c r="AX17" s="51" t="s">
        <v>29</v>
      </c>
      <c r="AY17" s="53" t="s" vm="2">
        <v>301</v>
      </c>
      <c r="AZ17" s="6"/>
      <c r="BA17" s="50"/>
      <c r="BB17" s="6"/>
      <c r="BC17" s="6"/>
      <c r="BE17" s="78" t="s">
        <v>364</v>
      </c>
      <c r="BF17" s="74">
        <v>7539</v>
      </c>
      <c r="BG17" s="65">
        <v>2089040939.5299988</v>
      </c>
      <c r="BH17" s="50">
        <v>277097.88294601388</v>
      </c>
      <c r="BI17" s="61">
        <v>3.9557568093691466E-2</v>
      </c>
      <c r="BJ17" s="61">
        <v>4.2162939375024439E-2</v>
      </c>
      <c r="BL17" s="72" t="s">
        <v>418</v>
      </c>
      <c r="BM17" s="74">
        <v>21255</v>
      </c>
      <c r="BN17" s="65">
        <v>5821788697.8500051</v>
      </c>
      <c r="BO17" s="62">
        <v>273902.07940955093</v>
      </c>
      <c r="BP17" s="61">
        <v>0.11152621167680224</v>
      </c>
      <c r="BQ17" s="61">
        <v>0.11750067663914622</v>
      </c>
      <c r="BS17" s="60" t="s">
        <v>383</v>
      </c>
      <c r="BT17" s="74">
        <v>1467</v>
      </c>
      <c r="BU17" s="65">
        <v>341917480.5199995</v>
      </c>
      <c r="BV17" s="50">
        <v>233072.58385821371</v>
      </c>
      <c r="BW17" s="61">
        <v>7.6974336640728714E-3</v>
      </c>
      <c r="BX17" s="61">
        <v>6.9008920455476373E-3</v>
      </c>
      <c r="BZ17" s="60" t="s">
        <v>274</v>
      </c>
      <c r="CA17" s="74">
        <v>571</v>
      </c>
      <c r="CB17" s="65">
        <v>99996964.130000055</v>
      </c>
      <c r="CC17" s="50">
        <v>175126.03175131357</v>
      </c>
      <c r="CD17" s="61">
        <v>2.9960699537734214E-3</v>
      </c>
      <c r="CE17" s="61">
        <v>2.0182304025349856E-3</v>
      </c>
      <c r="CJ17"/>
      <c r="CN17" s="60" t="s">
        <v>299</v>
      </c>
      <c r="CO17" s="74">
        <v>899</v>
      </c>
      <c r="CP17" s="65">
        <v>214158508.97000012</v>
      </c>
      <c r="CQ17" s="50">
        <v>238218.58617352627</v>
      </c>
      <c r="CR17" s="61">
        <v>3.619308345746608E-2</v>
      </c>
      <c r="CS17" s="61">
        <v>3.4395835470258575E-2</v>
      </c>
    </row>
    <row r="18" spans="1:97" x14ac:dyDescent="0.25">
      <c r="A18" s="60" t="s">
        <v>238</v>
      </c>
      <c r="B18" s="74">
        <v>5618</v>
      </c>
      <c r="C18" s="65">
        <v>539132791.4600004</v>
      </c>
      <c r="D18" s="50">
        <v>95965.253018867996</v>
      </c>
      <c r="E18" s="61">
        <v>2.9477970228194539E-2</v>
      </c>
      <c r="F18" s="61">
        <v>1.0881272248561079E-2</v>
      </c>
      <c r="H18" s="60" t="s">
        <v>199</v>
      </c>
      <c r="I18" s="62">
        <v>10830</v>
      </c>
      <c r="J18" s="50">
        <v>2822216586.7399836</v>
      </c>
      <c r="K18" s="50">
        <v>260592.48261680367</v>
      </c>
      <c r="L18" s="61">
        <v>5.6825635025159645E-2</v>
      </c>
      <c r="M18" s="61">
        <v>5.6960562427598095E-2</v>
      </c>
      <c r="O18" s="60" t="s">
        <v>153</v>
      </c>
      <c r="P18" s="74">
        <v>7959</v>
      </c>
      <c r="Q18" s="65">
        <v>1244442643.4999952</v>
      </c>
      <c r="R18" s="50">
        <v>156356.65831134506</v>
      </c>
      <c r="S18" s="61">
        <v>4.1761332332894328E-2</v>
      </c>
      <c r="T18" s="61">
        <v>2.5116482276977454E-2</v>
      </c>
      <c r="V18" s="60" t="s">
        <v>172</v>
      </c>
      <c r="W18" s="74">
        <v>12552</v>
      </c>
      <c r="X18" s="65">
        <v>2780693926.0299945</v>
      </c>
      <c r="Y18" s="50">
        <v>221533.93292144634</v>
      </c>
      <c r="Z18" s="61">
        <v>6.5861068405891399E-2</v>
      </c>
      <c r="AA18" s="61">
        <v>5.6122514023147566E-2</v>
      </c>
      <c r="AC18" s="60" t="s">
        <v>187</v>
      </c>
      <c r="AD18" s="74">
        <v>28512</v>
      </c>
      <c r="AE18" s="65">
        <v>8458442296.8799295</v>
      </c>
      <c r="AF18" s="50">
        <v>296662.53847081686</v>
      </c>
      <c r="AG18" s="61">
        <v>0.14960410949560035</v>
      </c>
      <c r="AH18" s="61">
        <v>0.17071603673345437</v>
      </c>
      <c r="AJ18" s="60" t="s">
        <v>199</v>
      </c>
      <c r="AK18" s="74">
        <v>10428</v>
      </c>
      <c r="AL18" s="65">
        <v>2601705828.879992</v>
      </c>
      <c r="AM18" s="50">
        <v>249492.31193709167</v>
      </c>
      <c r="AN18" s="61">
        <v>5.4716317824779752E-2</v>
      </c>
      <c r="AO18" s="61">
        <v>5.2510012158686975E-2</v>
      </c>
      <c r="AX18" s="51" t="s">
        <v>30</v>
      </c>
      <c r="AY18" s="53" t="s" vm="6">
        <v>500</v>
      </c>
      <c r="AZ18" s="6"/>
      <c r="BA18" s="50"/>
      <c r="BB18" s="6"/>
      <c r="BC18" s="6"/>
      <c r="BE18" s="78" t="s">
        <v>365</v>
      </c>
      <c r="BF18" s="74">
        <v>2715</v>
      </c>
      <c r="BG18" s="65">
        <v>954779799.53000021</v>
      </c>
      <c r="BH18" s="50">
        <v>351668.43444935553</v>
      </c>
      <c r="BI18" s="61">
        <v>1.4245761689132819E-2</v>
      </c>
      <c r="BJ18" s="61">
        <v>1.9270241210848849E-2</v>
      </c>
      <c r="BL18" s="72" t="s">
        <v>410</v>
      </c>
      <c r="BM18" s="74">
        <v>2</v>
      </c>
      <c r="BN18" s="65">
        <v>347378.45999999996</v>
      </c>
      <c r="BO18" s="62">
        <v>173689.22999999998</v>
      </c>
      <c r="BP18" s="61">
        <v>1.0494115424775557E-5</v>
      </c>
      <c r="BQ18" s="61">
        <v>7.0111105397793702E-6</v>
      </c>
      <c r="BS18" s="60" t="s">
        <v>384</v>
      </c>
      <c r="BT18" s="74">
        <v>10282</v>
      </c>
      <c r="BU18" s="65">
        <v>2258750361.6199985</v>
      </c>
      <c r="BV18" s="50">
        <v>219680.0585119625</v>
      </c>
      <c r="BW18" s="61">
        <v>5.3950247398771141E-2</v>
      </c>
      <c r="BX18" s="61">
        <v>4.5588170513176075E-2</v>
      </c>
      <c r="BZ18" s="60" t="s">
        <v>275</v>
      </c>
      <c r="CA18" s="74">
        <v>371</v>
      </c>
      <c r="CB18" s="65">
        <v>57724504.23999995</v>
      </c>
      <c r="CC18" s="50">
        <v>155591.65563342304</v>
      </c>
      <c r="CD18" s="61">
        <v>1.9466584112958658E-3</v>
      </c>
      <c r="CE18" s="61">
        <v>1.1650488636532122E-3</v>
      </c>
      <c r="CN18" s="60" t="s">
        <v>300</v>
      </c>
      <c r="CO18" s="74">
        <v>763</v>
      </c>
      <c r="CP18" s="65">
        <v>176966868.18999976</v>
      </c>
      <c r="CQ18" s="50">
        <v>231935.60706421986</v>
      </c>
      <c r="CR18" s="61">
        <v>3.0717822778694795E-2</v>
      </c>
      <c r="CS18" s="61">
        <v>2.8422514291985657E-2</v>
      </c>
    </row>
    <row r="19" spans="1:97" x14ac:dyDescent="0.25">
      <c r="A19" s="60" t="s">
        <v>239</v>
      </c>
      <c r="B19" s="74">
        <v>21338</v>
      </c>
      <c r="C19" s="65">
        <v>2709394004.5499907</v>
      </c>
      <c r="D19" s="50">
        <v>126975.06816711926</v>
      </c>
      <c r="E19" s="61">
        <v>0.11196171746693041</v>
      </c>
      <c r="F19" s="61">
        <v>5.4683473643459324E-2</v>
      </c>
      <c r="H19" s="60" t="s">
        <v>200</v>
      </c>
      <c r="I19" s="62">
        <v>11221</v>
      </c>
      <c r="J19" s="50">
        <v>3022494219.9099975</v>
      </c>
      <c r="K19" s="50">
        <v>269360.50440335064</v>
      </c>
      <c r="L19" s="61">
        <v>5.8877234590703265E-2</v>
      </c>
      <c r="M19" s="61">
        <v>6.1002749225249141E-2</v>
      </c>
      <c r="O19" s="60" t="s">
        <v>154</v>
      </c>
      <c r="P19" s="74">
        <v>2975</v>
      </c>
      <c r="Q19" s="65">
        <v>762395998.63999987</v>
      </c>
      <c r="R19" s="50">
        <v>256267.56256806719</v>
      </c>
      <c r="S19" s="61">
        <v>1.5609996694353642E-2</v>
      </c>
      <c r="T19" s="61">
        <v>1.5387374972963273E-2</v>
      </c>
      <c r="V19" s="60" t="s">
        <v>173</v>
      </c>
      <c r="W19" s="74">
        <v>5830</v>
      </c>
      <c r="X19" s="65">
        <v>1249930196.6400006</v>
      </c>
      <c r="Y19" s="50">
        <v>214396.26014408242</v>
      </c>
      <c r="Z19" s="61">
        <v>3.0590346463220747E-2</v>
      </c>
      <c r="AA19" s="61">
        <v>2.5227237105176943E-2</v>
      </c>
      <c r="AC19" s="60" t="s">
        <v>122</v>
      </c>
      <c r="AD19" s="74">
        <v>190583</v>
      </c>
      <c r="AE19" s="65">
        <v>49546852532.000053</v>
      </c>
      <c r="AF19" s="50">
        <v>259975.19470257082</v>
      </c>
      <c r="AG19" s="61">
        <v>1</v>
      </c>
      <c r="AH19" s="61">
        <v>1.0000000000000044</v>
      </c>
      <c r="AJ19" s="60" t="s">
        <v>200</v>
      </c>
      <c r="AK19" s="74">
        <v>10562</v>
      </c>
      <c r="AL19" s="65">
        <v>2740406036.5599999</v>
      </c>
      <c r="AM19" s="50">
        <v>259459.00743798522</v>
      </c>
      <c r="AN19" s="61">
        <v>5.5419423558239714E-2</v>
      </c>
      <c r="AO19" s="61">
        <v>5.5309386903842135E-2</v>
      </c>
      <c r="AX19" s="51" t="s">
        <v>19</v>
      </c>
      <c r="AY19" s="47" t="s" vm="3">
        <v>18</v>
      </c>
      <c r="AZ19" s="6"/>
      <c r="BA19" s="50"/>
      <c r="BB19" s="6"/>
      <c r="BC19" s="6"/>
      <c r="BE19" s="78" t="s">
        <v>366</v>
      </c>
      <c r="BF19" s="74">
        <v>201</v>
      </c>
      <c r="BG19" s="65">
        <v>53382001.439999983</v>
      </c>
      <c r="BH19" s="50">
        <v>265582.09671641781</v>
      </c>
      <c r="BI19" s="61">
        <v>1.0546586001899435E-3</v>
      </c>
      <c r="BJ19" s="61">
        <v>1.0774044911434661E-3</v>
      </c>
      <c r="BL19" s="60" t="s">
        <v>122</v>
      </c>
      <c r="BM19" s="74">
        <v>190583</v>
      </c>
      <c r="BN19" s="65">
        <v>49546852532.000084</v>
      </c>
      <c r="BO19" s="62">
        <v>259975.19470257097</v>
      </c>
      <c r="BP19" s="61">
        <v>1</v>
      </c>
      <c r="BQ19" s="61">
        <v>1</v>
      </c>
      <c r="BS19" s="60" t="s">
        <v>385</v>
      </c>
      <c r="BT19" s="74">
        <v>1601</v>
      </c>
      <c r="BU19" s="65">
        <v>337159405.0800001</v>
      </c>
      <c r="BV19" s="50">
        <v>210593.00754528426</v>
      </c>
      <c r="BW19" s="61">
        <v>8.4005393975328333E-3</v>
      </c>
      <c r="BX19" s="61">
        <v>6.8048602050401821E-3</v>
      </c>
      <c r="BZ19" s="60" t="s">
        <v>276</v>
      </c>
      <c r="CA19" s="74">
        <v>707</v>
      </c>
      <c r="CB19" s="65">
        <v>83844848.920000091</v>
      </c>
      <c r="CC19" s="50">
        <v>118592.43128712884</v>
      </c>
      <c r="CD19" s="61">
        <v>3.7096698026581596E-3</v>
      </c>
      <c r="CE19" s="61">
        <v>1.6922336058753382E-3</v>
      </c>
      <c r="CN19" s="60" t="s">
        <v>425</v>
      </c>
      <c r="CO19" s="74">
        <v>549</v>
      </c>
      <c r="CP19" s="65">
        <v>131227249.78</v>
      </c>
      <c r="CQ19" s="50">
        <v>239029.59887067394</v>
      </c>
      <c r="CR19" s="61">
        <v>2.2102339063569388E-2</v>
      </c>
      <c r="CS19" s="61">
        <v>2.1076308918828401E-2</v>
      </c>
    </row>
    <row r="20" spans="1:97" x14ac:dyDescent="0.25">
      <c r="A20" s="60" t="s">
        <v>240</v>
      </c>
      <c r="B20" s="74">
        <v>23186</v>
      </c>
      <c r="C20" s="65">
        <v>4112421448.8500085</v>
      </c>
      <c r="D20" s="50">
        <v>177366.57676399589</v>
      </c>
      <c r="E20" s="61">
        <v>0.12165828011942303</v>
      </c>
      <c r="F20" s="61">
        <v>8.3000659753189834E-2</v>
      </c>
      <c r="H20" s="60" t="s">
        <v>201</v>
      </c>
      <c r="I20" s="62">
        <v>11841</v>
      </c>
      <c r="J20" s="50">
        <v>3311255615.3000097</v>
      </c>
      <c r="K20" s="50">
        <v>279643.24088337214</v>
      </c>
      <c r="L20" s="61">
        <v>6.2130410372383683E-2</v>
      </c>
      <c r="M20" s="61">
        <v>6.6830796429731304E-2</v>
      </c>
      <c r="O20" s="60" t="s">
        <v>155</v>
      </c>
      <c r="P20" s="74">
        <v>2247</v>
      </c>
      <c r="Q20" s="65">
        <v>508065036.03000051</v>
      </c>
      <c r="R20" s="50">
        <v>226108.16022696951</v>
      </c>
      <c r="S20" s="61">
        <v>1.1790138679735338E-2</v>
      </c>
      <c r="T20" s="61">
        <v>1.0254234327031457E-2</v>
      </c>
      <c r="V20" s="60" t="s">
        <v>174</v>
      </c>
      <c r="W20" s="74">
        <v>6086</v>
      </c>
      <c r="X20" s="65">
        <v>1270022768.6799986</v>
      </c>
      <c r="Y20" s="50">
        <v>208679.39018731492</v>
      </c>
      <c r="Z20" s="61">
        <v>3.1933593237592019E-2</v>
      </c>
      <c r="AA20" s="61">
        <v>2.5632763814003125E-2</v>
      </c>
      <c r="AJ20" s="60" t="s">
        <v>201</v>
      </c>
      <c r="AK20" s="74">
        <v>11981</v>
      </c>
      <c r="AL20" s="65">
        <v>3235096140.3700109</v>
      </c>
      <c r="AM20" s="50">
        <v>270018.8749161181</v>
      </c>
      <c r="AN20" s="61">
        <v>6.2864998452117973E-2</v>
      </c>
      <c r="AO20" s="61">
        <v>6.5293676087307684E-2</v>
      </c>
      <c r="AX20" s="6"/>
      <c r="AY20" s="6"/>
      <c r="AZ20" s="6"/>
      <c r="BA20" s="50"/>
      <c r="BB20" s="6"/>
      <c r="BC20" s="6"/>
      <c r="BE20" s="78" t="s">
        <v>367</v>
      </c>
      <c r="BF20" s="74">
        <v>15</v>
      </c>
      <c r="BG20" s="65">
        <v>3934568.21</v>
      </c>
      <c r="BH20" s="50">
        <v>262304.54733333335</v>
      </c>
      <c r="BI20" s="61">
        <v>7.8705865685816677E-5</v>
      </c>
      <c r="BJ20" s="61">
        <v>7.941106263932373E-5</v>
      </c>
      <c r="BO20"/>
      <c r="BS20" s="60" t="s">
        <v>386</v>
      </c>
      <c r="BT20" s="74">
        <v>11968</v>
      </c>
      <c r="BU20" s="65">
        <v>1926067771.1999974</v>
      </c>
      <c r="BV20" s="50">
        <v>160934.80708556128</v>
      </c>
      <c r="BW20" s="61">
        <v>6.2796786701856927E-2</v>
      </c>
      <c r="BX20" s="61">
        <v>3.8873665485734871E-2</v>
      </c>
      <c r="BZ20" s="60" t="s">
        <v>277</v>
      </c>
      <c r="CA20" s="74">
        <v>566</v>
      </c>
      <c r="CB20" s="65">
        <v>76358966.559999958</v>
      </c>
      <c r="CC20" s="50">
        <v>134909.8349116607</v>
      </c>
      <c r="CD20" s="61">
        <v>2.9698346652114829E-3</v>
      </c>
      <c r="CE20" s="61">
        <v>1.5411466653847117E-3</v>
      </c>
      <c r="CN20" s="60" t="s">
        <v>426</v>
      </c>
      <c r="CO20" s="74">
        <v>482</v>
      </c>
      <c r="CP20" s="65">
        <v>113020064.31999998</v>
      </c>
      <c r="CQ20" s="50">
        <v>234481.46124481322</v>
      </c>
      <c r="CR20" s="61">
        <v>1.9404967993880591E-2</v>
      </c>
      <c r="CS20" s="61">
        <v>1.8152066690627362E-2</v>
      </c>
    </row>
    <row r="21" spans="1:97" x14ac:dyDescent="0.25">
      <c r="A21" s="60" t="s">
        <v>241</v>
      </c>
      <c r="B21" s="74">
        <v>21697</v>
      </c>
      <c r="C21" s="65">
        <v>4926941841.2600136</v>
      </c>
      <c r="D21" s="50">
        <v>227079.4045840445</v>
      </c>
      <c r="E21" s="61">
        <v>0.11384541118567763</v>
      </c>
      <c r="F21" s="61">
        <v>9.9440057026385809E-2</v>
      </c>
      <c r="H21" s="60" t="s">
        <v>202</v>
      </c>
      <c r="I21" s="62">
        <v>11295</v>
      </c>
      <c r="J21" s="50">
        <v>3143995941.2099962</v>
      </c>
      <c r="K21" s="50">
        <v>278352.89430810057</v>
      </c>
      <c r="L21" s="61">
        <v>5.926551686141996E-2</v>
      </c>
      <c r="M21" s="61">
        <v>6.3455008351528189E-2</v>
      </c>
      <c r="O21" s="60" t="s">
        <v>156</v>
      </c>
      <c r="P21" s="74">
        <v>977</v>
      </c>
      <c r="Q21" s="65">
        <v>202865624.55000013</v>
      </c>
      <c r="R21" s="50">
        <v>207641.37620266134</v>
      </c>
      <c r="S21" s="61">
        <v>5.1263753850028593E-3</v>
      </c>
      <c r="T21" s="61">
        <v>4.0944200122294029E-3</v>
      </c>
      <c r="V21" s="60" t="s">
        <v>175</v>
      </c>
      <c r="W21" s="74">
        <v>4865</v>
      </c>
      <c r="X21" s="65">
        <v>971272624.27000105</v>
      </c>
      <c r="Y21" s="50">
        <v>199644.93818499509</v>
      </c>
      <c r="Z21" s="61">
        <v>2.5526935770766541E-2</v>
      </c>
      <c r="AA21" s="61">
        <v>1.9603114519589342E-2</v>
      </c>
      <c r="AJ21" s="60" t="s">
        <v>202</v>
      </c>
      <c r="AK21" s="74">
        <v>10992</v>
      </c>
      <c r="AL21" s="65">
        <v>2942642963.3999882</v>
      </c>
      <c r="AM21" s="50">
        <v>267707.69317685481</v>
      </c>
      <c r="AN21" s="61">
        <v>5.7675658374566459E-2</v>
      </c>
      <c r="AO21" s="61">
        <v>5.9391117962527905E-2</v>
      </c>
      <c r="AX21" s="47"/>
      <c r="AY21" s="56" t="s">
        <v>0</v>
      </c>
      <c r="AZ21" s="65"/>
      <c r="BA21" s="65"/>
      <c r="BB21" s="65"/>
      <c r="BC21" s="65"/>
      <c r="BE21" s="78" t="s">
        <v>368</v>
      </c>
      <c r="BF21" s="74">
        <v>1883</v>
      </c>
      <c r="BG21" s="65">
        <v>536147734.85999972</v>
      </c>
      <c r="BH21" s="50">
        <v>284730.6079978756</v>
      </c>
      <c r="BI21" s="61">
        <v>9.8802096724261868E-3</v>
      </c>
      <c r="BJ21" s="61">
        <v>1.0821025099701847E-2</v>
      </c>
      <c r="BO21"/>
      <c r="BS21" s="60" t="s">
        <v>387</v>
      </c>
      <c r="BT21" s="74">
        <v>4237</v>
      </c>
      <c r="BU21" s="65">
        <v>1115233644.1700013</v>
      </c>
      <c r="BV21" s="50">
        <v>263213.03851073905</v>
      </c>
      <c r="BW21" s="61">
        <v>2.2231783527387017E-2</v>
      </c>
      <c r="BX21" s="61">
        <v>2.2508667799831027E-2</v>
      </c>
      <c r="BZ21" s="60" t="s">
        <v>278</v>
      </c>
      <c r="CA21" s="74">
        <v>453</v>
      </c>
      <c r="CB21" s="65">
        <v>66490478.649999991</v>
      </c>
      <c r="CC21" s="50">
        <v>146778.09856512139</v>
      </c>
      <c r="CD21" s="61">
        <v>2.3769171437116638E-3</v>
      </c>
      <c r="CE21" s="61">
        <v>1.3419717954244784E-3</v>
      </c>
      <c r="CN21" s="60" t="s">
        <v>427</v>
      </c>
      <c r="CO21" s="74">
        <v>495</v>
      </c>
      <c r="CP21" s="65">
        <v>115950060.77000012</v>
      </c>
      <c r="CQ21" s="50">
        <v>234242.54701010123</v>
      </c>
      <c r="CR21" s="61">
        <v>1.9928338499939611E-2</v>
      </c>
      <c r="CS21" s="61">
        <v>1.8622651195101869E-2</v>
      </c>
    </row>
    <row r="22" spans="1:97" x14ac:dyDescent="0.25">
      <c r="A22" s="60" t="s">
        <v>242</v>
      </c>
      <c r="B22" s="74">
        <v>22048</v>
      </c>
      <c r="C22" s="65">
        <v>6093806958.27005</v>
      </c>
      <c r="D22" s="50">
        <v>276388.19658336585</v>
      </c>
      <c r="E22" s="61">
        <v>0.11568712844272575</v>
      </c>
      <c r="F22" s="61">
        <v>0.12299079854435431</v>
      </c>
      <c r="H22" s="60" t="s">
        <v>203</v>
      </c>
      <c r="I22" s="62">
        <v>12027</v>
      </c>
      <c r="J22" s="50">
        <v>3460632521.4599981</v>
      </c>
      <c r="K22" s="50">
        <v>287738.63153404824</v>
      </c>
      <c r="L22" s="61">
        <v>6.3106363106887817E-2</v>
      </c>
      <c r="M22" s="61">
        <v>6.9845658091499077E-2</v>
      </c>
      <c r="O22" s="60" t="s">
        <v>157</v>
      </c>
      <c r="P22" s="74">
        <v>1429</v>
      </c>
      <c r="Q22" s="65">
        <v>324314280.0399999</v>
      </c>
      <c r="R22" s="50">
        <v>226951.91045486348</v>
      </c>
      <c r="S22" s="61">
        <v>7.4980454710021358E-3</v>
      </c>
      <c r="T22" s="61">
        <v>6.5456081156828275E-3</v>
      </c>
      <c r="V22" s="60" t="s">
        <v>176</v>
      </c>
      <c r="W22" s="74">
        <v>7231</v>
      </c>
      <c r="X22" s="65">
        <v>1194408485.0100026</v>
      </c>
      <c r="Y22" s="50">
        <v>165178.88051583496</v>
      </c>
      <c r="Z22" s="61">
        <v>3.7941474318276026E-2</v>
      </c>
      <c r="AA22" s="61">
        <v>2.4106647021394343E-2</v>
      </c>
      <c r="AJ22" s="60" t="s">
        <v>203</v>
      </c>
      <c r="AK22" s="74">
        <v>11978</v>
      </c>
      <c r="AL22" s="65">
        <v>3309869783.1500173</v>
      </c>
      <c r="AM22" s="50">
        <v>276329.08525213035</v>
      </c>
      <c r="AN22" s="61">
        <v>6.2849257278980816E-2</v>
      </c>
      <c r="AO22" s="61">
        <v>6.6802826294815085E-2</v>
      </c>
      <c r="AX22" s="49" t="s">
        <v>35</v>
      </c>
      <c r="AY22" s="66" t="s">
        <v>116</v>
      </c>
      <c r="AZ22" s="60" t="s">
        <v>117</v>
      </c>
      <c r="BA22" s="65" t="s">
        <v>118</v>
      </c>
      <c r="BB22" s="60" t="s">
        <v>119</v>
      </c>
      <c r="BC22" s="60" t="s">
        <v>120</v>
      </c>
      <c r="BE22" s="78" t="s">
        <v>369</v>
      </c>
      <c r="BF22" s="74">
        <v>26292</v>
      </c>
      <c r="BG22" s="65">
        <v>6902550069.1400251</v>
      </c>
      <c r="BH22" s="50">
        <v>262534.23357447225</v>
      </c>
      <c r="BI22" s="61">
        <v>0.13795564137409946</v>
      </c>
      <c r="BJ22" s="61">
        <v>0.13931359342517202</v>
      </c>
      <c r="BO22"/>
      <c r="BS22" s="60" t="s">
        <v>388</v>
      </c>
      <c r="BT22" s="74">
        <v>65497</v>
      </c>
      <c r="BU22" s="65">
        <v>17754278776.669781</v>
      </c>
      <c r="BV22" s="50">
        <v>271070.1066715999</v>
      </c>
      <c r="BW22" s="61">
        <v>0.34366653898826233</v>
      </c>
      <c r="BX22" s="61">
        <v>0.35833313054957788</v>
      </c>
      <c r="BZ22" s="60" t="s">
        <v>279</v>
      </c>
      <c r="CA22" s="74">
        <v>715</v>
      </c>
      <c r="CB22" s="65">
        <v>119364300.21999991</v>
      </c>
      <c r="CC22" s="50">
        <v>166943.07723076909</v>
      </c>
      <c r="CD22" s="61">
        <v>3.7516462643572617E-3</v>
      </c>
      <c r="CE22" s="61">
        <v>2.4091197345564573E-3</v>
      </c>
      <c r="CN22" s="60" t="s">
        <v>428</v>
      </c>
      <c r="CO22" s="74">
        <v>445</v>
      </c>
      <c r="CP22" s="65">
        <v>109783339.63000007</v>
      </c>
      <c r="CQ22" s="50">
        <v>246704.13400000017</v>
      </c>
      <c r="CR22" s="61">
        <v>1.7915375015097226E-2</v>
      </c>
      <c r="CS22" s="61">
        <v>1.7632218796489494E-2</v>
      </c>
    </row>
    <row r="23" spans="1:97" x14ac:dyDescent="0.25">
      <c r="A23" s="60" t="s">
        <v>243</v>
      </c>
      <c r="B23" s="74">
        <v>17663</v>
      </c>
      <c r="C23" s="65">
        <v>5745079505.409997</v>
      </c>
      <c r="D23" s="50">
        <v>325260.68648644042</v>
      </c>
      <c r="E23" s="61">
        <v>9.267878037390534E-2</v>
      </c>
      <c r="F23" s="61">
        <v>0.11595246139398081</v>
      </c>
      <c r="H23" s="60" t="s">
        <v>204</v>
      </c>
      <c r="I23" s="62">
        <v>13302</v>
      </c>
      <c r="J23" s="50">
        <v>3928127301.4499865</v>
      </c>
      <c r="K23" s="50">
        <v>295303.51085926825</v>
      </c>
      <c r="L23" s="61">
        <v>6.9796361690182232E-2</v>
      </c>
      <c r="M23" s="61">
        <v>7.92810663182488E-2</v>
      </c>
      <c r="O23" s="60" t="s">
        <v>158</v>
      </c>
      <c r="P23" s="74">
        <v>1509</v>
      </c>
      <c r="Q23" s="65">
        <v>334956262.13999999</v>
      </c>
      <c r="R23" s="50">
        <v>221972.34071570577</v>
      </c>
      <c r="S23" s="61">
        <v>7.917810087993157E-3</v>
      </c>
      <c r="T23" s="61">
        <v>6.7603943544883478E-3</v>
      </c>
      <c r="V23" s="60" t="s">
        <v>177</v>
      </c>
      <c r="W23" s="74">
        <v>3230</v>
      </c>
      <c r="X23" s="65">
        <v>395697058.46999985</v>
      </c>
      <c r="Y23" s="50">
        <v>122506.82924767798</v>
      </c>
      <c r="Z23" s="61">
        <v>1.6947996411012526E-2</v>
      </c>
      <c r="AA23" s="61">
        <v>7.9863207902951573E-3</v>
      </c>
      <c r="AJ23" s="60" t="s">
        <v>204</v>
      </c>
      <c r="AK23" s="74">
        <v>13020</v>
      </c>
      <c r="AL23" s="65">
        <v>3704847469.6299968</v>
      </c>
      <c r="AM23" s="50">
        <v>284550.4968993853</v>
      </c>
      <c r="AN23" s="61">
        <v>6.8316691415288872E-2</v>
      </c>
      <c r="AO23" s="61">
        <v>7.4774628060121612E-2</v>
      </c>
      <c r="AX23" s="60" t="s">
        <v>9</v>
      </c>
      <c r="AY23" s="74">
        <v>21904</v>
      </c>
      <c r="AZ23" s="65">
        <v>5587778508.1999702</v>
      </c>
      <c r="BA23" s="62">
        <v>255103.10939554282</v>
      </c>
      <c r="BB23" s="61">
        <v>0.12505209552463761</v>
      </c>
      <c r="BC23" s="61">
        <v>0.12064482001229067</v>
      </c>
      <c r="BE23" s="78" t="s">
        <v>370</v>
      </c>
      <c r="BF23" s="74">
        <v>286</v>
      </c>
      <c r="BG23" s="65">
        <v>98472757.300000012</v>
      </c>
      <c r="BH23" s="50">
        <v>344310.34020979027</v>
      </c>
      <c r="BI23" s="61">
        <v>1.5006585057429046E-3</v>
      </c>
      <c r="BJ23" s="61">
        <v>1.9874674629715527E-3</v>
      </c>
      <c r="BO23"/>
      <c r="BS23" s="60" t="s">
        <v>389</v>
      </c>
      <c r="BT23" s="74">
        <v>3101</v>
      </c>
      <c r="BU23" s="65">
        <v>851360535.35000145</v>
      </c>
      <c r="BV23" s="50">
        <v>274543.86821992951</v>
      </c>
      <c r="BW23" s="61">
        <v>1.6271125966114502E-2</v>
      </c>
      <c r="BX23" s="61">
        <v>1.7182938811302902E-2</v>
      </c>
      <c r="BZ23" s="60" t="s">
        <v>280</v>
      </c>
      <c r="CA23" s="74">
        <v>646</v>
      </c>
      <c r="CB23" s="65">
        <v>114033595.86000003</v>
      </c>
      <c r="CC23" s="50">
        <v>176522.59421052635</v>
      </c>
      <c r="CD23" s="61">
        <v>3.3895992822025049E-3</v>
      </c>
      <c r="CE23" s="61">
        <v>2.301530572226579E-3</v>
      </c>
      <c r="CN23" s="60" t="s">
        <v>429</v>
      </c>
      <c r="CO23" s="74">
        <v>387</v>
      </c>
      <c r="CP23" s="65">
        <v>90408187.099999979</v>
      </c>
      <c r="CQ23" s="50">
        <v>233612.88656330743</v>
      </c>
      <c r="CR23" s="61">
        <v>1.558033737268006E-2</v>
      </c>
      <c r="CS23" s="61">
        <v>1.4520390264257782E-2</v>
      </c>
    </row>
    <row r="24" spans="1:97" x14ac:dyDescent="0.25">
      <c r="A24" s="60" t="s">
        <v>244</v>
      </c>
      <c r="B24" s="74">
        <v>14528</v>
      </c>
      <c r="C24" s="65">
        <v>5455665039.4699869</v>
      </c>
      <c r="D24" s="50">
        <v>375527.60458906851</v>
      </c>
      <c r="E24" s="61">
        <v>7.6229254445569647E-2</v>
      </c>
      <c r="F24" s="61">
        <v>0.11011123332095457</v>
      </c>
      <c r="H24" s="60" t="s">
        <v>205</v>
      </c>
      <c r="I24" s="62">
        <v>32765</v>
      </c>
      <c r="J24" s="50">
        <v>11264956192.630024</v>
      </c>
      <c r="K24" s="50">
        <v>343810.6574890897</v>
      </c>
      <c r="L24" s="61">
        <v>0.17191984594638557</v>
      </c>
      <c r="M24" s="61">
        <v>0.22735967305601321</v>
      </c>
      <c r="O24" s="60" t="s">
        <v>159</v>
      </c>
      <c r="P24" s="74">
        <v>144</v>
      </c>
      <c r="Q24" s="65">
        <v>32868189.68999999</v>
      </c>
      <c r="R24" s="50">
        <v>228251.31729166661</v>
      </c>
      <c r="S24" s="61">
        <v>7.555763105838401E-4</v>
      </c>
      <c r="T24" s="61">
        <v>6.6337593631748688E-4</v>
      </c>
      <c r="V24" s="60" t="s">
        <v>122</v>
      </c>
      <c r="W24" s="74">
        <v>190583</v>
      </c>
      <c r="X24" s="65">
        <v>49546852532.000053</v>
      </c>
      <c r="Y24" s="50">
        <v>259975.19470257082</v>
      </c>
      <c r="Z24" s="61">
        <v>1</v>
      </c>
      <c r="AA24" s="61">
        <v>1.0000000000000011</v>
      </c>
      <c r="AJ24" s="60" t="s">
        <v>205</v>
      </c>
      <c r="AK24" s="74">
        <v>39583</v>
      </c>
      <c r="AL24" s="65">
        <v>12961698909.129992</v>
      </c>
      <c r="AM24" s="50">
        <v>327456.20365131472</v>
      </c>
      <c r="AN24" s="61">
        <v>0.20769428542944543</v>
      </c>
      <c r="AO24" s="61">
        <v>0.26160489005348275</v>
      </c>
      <c r="AX24" s="60" t="s">
        <v>214</v>
      </c>
      <c r="AY24" s="74">
        <v>153255</v>
      </c>
      <c r="AZ24" s="65">
        <v>40728163673.410187</v>
      </c>
      <c r="BA24" s="62">
        <v>265754.22448474885</v>
      </c>
      <c r="BB24" s="61">
        <v>0.87494790447536241</v>
      </c>
      <c r="BC24" s="61">
        <v>0.87935517998771795</v>
      </c>
      <c r="BE24" s="78" t="s">
        <v>371</v>
      </c>
      <c r="BF24" s="74">
        <v>1</v>
      </c>
      <c r="BG24" s="65">
        <v>53445.66</v>
      </c>
      <c r="BH24" s="50">
        <v>53445.66</v>
      </c>
      <c r="BI24" s="61">
        <v>5.2470577123877785E-6</v>
      </c>
      <c r="BJ24" s="61">
        <v>1.0786893065605282E-6</v>
      </c>
      <c r="BO24"/>
      <c r="BS24" s="60" t="s">
        <v>390</v>
      </c>
      <c r="BT24" s="74">
        <v>55095</v>
      </c>
      <c r="BU24" s="65">
        <v>16287792378.519846</v>
      </c>
      <c r="BV24" s="50">
        <v>295631.04416952259</v>
      </c>
      <c r="BW24" s="61">
        <v>0.28908664466400463</v>
      </c>
      <c r="BX24" s="61">
        <v>0.32873515765709582</v>
      </c>
      <c r="BZ24" s="60" t="s">
        <v>281</v>
      </c>
      <c r="CA24" s="74">
        <v>970</v>
      </c>
      <c r="CB24" s="65">
        <v>149194585.70999998</v>
      </c>
      <c r="CC24" s="50">
        <v>153808.85124742266</v>
      </c>
      <c r="CD24" s="61">
        <v>5.0896459810161453E-3</v>
      </c>
      <c r="CE24" s="61">
        <v>3.011181903303383E-3</v>
      </c>
      <c r="CN24" s="60" t="s">
        <v>430</v>
      </c>
      <c r="CO24" s="74">
        <v>745</v>
      </c>
      <c r="CP24" s="65">
        <v>191563165.91000003</v>
      </c>
      <c r="CQ24" s="50">
        <v>257131.76632214768</v>
      </c>
      <c r="CR24" s="61">
        <v>2.9993155924151537E-2</v>
      </c>
      <c r="CS24" s="61">
        <v>3.0766814582768726E-2</v>
      </c>
    </row>
    <row r="25" spans="1:97" x14ac:dyDescent="0.25">
      <c r="A25" s="60" t="s">
        <v>245</v>
      </c>
      <c r="B25" s="74">
        <v>8880</v>
      </c>
      <c r="C25" s="65">
        <v>3773486521.7299938</v>
      </c>
      <c r="D25" s="50">
        <v>424942.1758704948</v>
      </c>
      <c r="E25" s="61">
        <v>4.6593872486003475E-2</v>
      </c>
      <c r="F25" s="61">
        <v>7.6159964334623895E-2</v>
      </c>
      <c r="H25" s="60" t="s">
        <v>206</v>
      </c>
      <c r="I25" s="62">
        <v>9963</v>
      </c>
      <c r="J25" s="50">
        <v>2999477166.6000094</v>
      </c>
      <c r="K25" s="50">
        <v>301061.64474555949</v>
      </c>
      <c r="L25" s="61">
        <v>5.2276435988519436E-2</v>
      </c>
      <c r="M25" s="61">
        <v>6.0538197954406611E-2</v>
      </c>
      <c r="O25" s="60" t="s">
        <v>160</v>
      </c>
      <c r="P25" s="74">
        <v>461</v>
      </c>
      <c r="Q25" s="65">
        <v>100363100.03</v>
      </c>
      <c r="R25" s="50">
        <v>217707.37533622561</v>
      </c>
      <c r="S25" s="61">
        <v>2.4188936054107659E-3</v>
      </c>
      <c r="T25" s="61">
        <v>2.025620092924773E-3</v>
      </c>
      <c r="AJ25" s="60" t="s">
        <v>206</v>
      </c>
      <c r="AK25" s="74">
        <v>11918</v>
      </c>
      <c r="AL25" s="65">
        <v>3541175906.8099961</v>
      </c>
      <c r="AM25" s="50">
        <v>297128.36942523881</v>
      </c>
      <c r="AN25" s="61">
        <v>6.253443381623755E-2</v>
      </c>
      <c r="AO25" s="61">
        <v>7.147125853297974E-2</v>
      </c>
      <c r="AX25" s="60" t="s">
        <v>122</v>
      </c>
      <c r="AY25" s="74">
        <v>175159</v>
      </c>
      <c r="AZ25" s="65">
        <v>46315942181.609352</v>
      </c>
      <c r="BA25" s="62">
        <v>264422.28022316494</v>
      </c>
      <c r="BB25" s="61">
        <v>1</v>
      </c>
      <c r="BC25" s="61">
        <v>0.99999999999999123</v>
      </c>
      <c r="BE25" s="78" t="s">
        <v>372</v>
      </c>
      <c r="BF25" s="74">
        <v>4240</v>
      </c>
      <c r="BG25" s="65">
        <v>1159936992.3900006</v>
      </c>
      <c r="BH25" s="50">
        <v>273570.04537500016</v>
      </c>
      <c r="BI25" s="61">
        <v>2.2247524700524181E-2</v>
      </c>
      <c r="BJ25" s="61">
        <v>2.3410911755511566E-2</v>
      </c>
      <c r="BO25"/>
      <c r="BS25" s="60" t="s">
        <v>122</v>
      </c>
      <c r="BT25" s="74">
        <v>190583</v>
      </c>
      <c r="BU25" s="65">
        <v>49546852532.000053</v>
      </c>
      <c r="BV25" s="50">
        <v>259975.19470257082</v>
      </c>
      <c r="BW25" s="61">
        <v>1</v>
      </c>
      <c r="BX25" s="61">
        <v>1.0000000000000042</v>
      </c>
      <c r="BZ25" s="60" t="s">
        <v>282</v>
      </c>
      <c r="CA25" s="74">
        <v>1706</v>
      </c>
      <c r="CB25" s="65">
        <v>250791305.10999963</v>
      </c>
      <c r="CC25" s="50">
        <v>147005.45434349333</v>
      </c>
      <c r="CD25" s="61">
        <v>8.9514804573335507E-3</v>
      </c>
      <c r="CE25" s="61">
        <v>5.0617000332770865E-3</v>
      </c>
      <c r="CN25" s="60" t="s">
        <v>431</v>
      </c>
      <c r="CO25" s="74">
        <v>596</v>
      </c>
      <c r="CP25" s="65">
        <v>155403896.22999987</v>
      </c>
      <c r="CQ25" s="50">
        <v>260744.79233221454</v>
      </c>
      <c r="CR25" s="61">
        <v>2.3994524739321229E-2</v>
      </c>
      <c r="CS25" s="61">
        <v>2.495930174277123E-2</v>
      </c>
    </row>
    <row r="26" spans="1:97" x14ac:dyDescent="0.25">
      <c r="A26" s="60" t="s">
        <v>246</v>
      </c>
      <c r="B26" s="74">
        <v>6655</v>
      </c>
      <c r="C26" s="65">
        <v>3168854259.2599945</v>
      </c>
      <c r="D26" s="50">
        <v>476161.4213764079</v>
      </c>
      <c r="E26" s="61">
        <v>3.4919169075940663E-2</v>
      </c>
      <c r="F26" s="61">
        <v>6.3956721715337533E-2</v>
      </c>
      <c r="H26" s="60" t="s">
        <v>207</v>
      </c>
      <c r="I26" s="62">
        <v>9538</v>
      </c>
      <c r="J26" s="50">
        <v>2749252321.9499969</v>
      </c>
      <c r="K26" s="50">
        <v>288242.01320507412</v>
      </c>
      <c r="L26" s="61">
        <v>5.0046436460754629E-2</v>
      </c>
      <c r="M26" s="61">
        <v>5.5487930745437002E-2</v>
      </c>
      <c r="O26" s="60" t="s">
        <v>161</v>
      </c>
      <c r="P26" s="74">
        <v>166</v>
      </c>
      <c r="Q26" s="65">
        <v>35155127.250000007</v>
      </c>
      <c r="R26" s="50">
        <v>211777.87500000006</v>
      </c>
      <c r="S26" s="61">
        <v>8.7101158025637126E-4</v>
      </c>
      <c r="T26" s="61">
        <v>7.0953300670905186E-4</v>
      </c>
      <c r="AJ26" s="60" t="s">
        <v>207</v>
      </c>
      <c r="AK26" s="74">
        <v>10255</v>
      </c>
      <c r="AL26" s="65">
        <v>2899849696.7500029</v>
      </c>
      <c r="AM26" s="50">
        <v>282774.22688932257</v>
      </c>
      <c r="AN26" s="61">
        <v>5.3808576840536672E-2</v>
      </c>
      <c r="AO26" s="61">
        <v>5.8527425024165226E-2</v>
      </c>
      <c r="BE26" s="78" t="s">
        <v>373</v>
      </c>
      <c r="BF26" s="74">
        <v>735</v>
      </c>
      <c r="BG26" s="65">
        <v>167366882.20000002</v>
      </c>
      <c r="BH26" s="50">
        <v>227710.04380952384</v>
      </c>
      <c r="BI26" s="61">
        <v>3.8565874186050173E-3</v>
      </c>
      <c r="BJ26" s="61">
        <v>3.3779518505621525E-3</v>
      </c>
      <c r="BO26"/>
      <c r="BZ26" s="60" t="s">
        <v>283</v>
      </c>
      <c r="CA26" s="74">
        <v>2031</v>
      </c>
      <c r="CB26" s="65">
        <v>314380456.60000056</v>
      </c>
      <c r="CC26" s="50">
        <v>154790.96829148231</v>
      </c>
      <c r="CD26" s="61">
        <v>1.0656774213859578E-2</v>
      </c>
      <c r="CE26" s="61">
        <v>6.3451145841596397E-3</v>
      </c>
      <c r="CN26" s="60" t="s">
        <v>432</v>
      </c>
      <c r="CO26" s="74">
        <v>808</v>
      </c>
      <c r="CP26" s="65">
        <v>216537719.68000022</v>
      </c>
      <c r="CQ26" s="50">
        <v>267992.22732673294</v>
      </c>
      <c r="CR26" s="61">
        <v>3.2529489915052938E-2</v>
      </c>
      <c r="CS26" s="61">
        <v>3.477795869535865E-2</v>
      </c>
    </row>
    <row r="27" spans="1:97" x14ac:dyDescent="0.25">
      <c r="A27" s="60" t="s">
        <v>247</v>
      </c>
      <c r="B27" s="74">
        <v>4066</v>
      </c>
      <c r="C27" s="65">
        <v>2133203416.4799998</v>
      </c>
      <c r="D27" s="50">
        <v>524644.22441711754</v>
      </c>
      <c r="E27" s="61">
        <v>2.1334536658568708E-2</v>
      </c>
      <c r="F27" s="61">
        <v>4.3054266970889037E-2</v>
      </c>
      <c r="H27" s="60" t="s">
        <v>208</v>
      </c>
      <c r="I27" s="62">
        <v>7381</v>
      </c>
      <c r="J27" s="50">
        <v>2154983337.5300021</v>
      </c>
      <c r="K27" s="50">
        <v>291963.60080341448</v>
      </c>
      <c r="L27" s="61">
        <v>3.8728532975134192E-2</v>
      </c>
      <c r="M27" s="61">
        <v>4.3493849304316518E-2</v>
      </c>
      <c r="O27" s="60" t="s">
        <v>162</v>
      </c>
      <c r="P27" s="74">
        <v>26</v>
      </c>
      <c r="Q27" s="65">
        <v>5961727.0600000005</v>
      </c>
      <c r="R27" s="50">
        <v>229297.19461538462</v>
      </c>
      <c r="S27" s="61">
        <v>1.3642350052208224E-4</v>
      </c>
      <c r="T27" s="61">
        <v>1.2032504095289587E-4</v>
      </c>
      <c r="AJ27" s="60" t="s">
        <v>208</v>
      </c>
      <c r="AK27" s="74">
        <v>7932</v>
      </c>
      <c r="AL27" s="65">
        <v>2239410859.6300011</v>
      </c>
      <c r="AM27" s="50">
        <v>282326.12955496734</v>
      </c>
      <c r="AN27" s="61">
        <v>4.1619661774659859E-2</v>
      </c>
      <c r="AO27" s="61">
        <v>4.5197842954477659E-2</v>
      </c>
      <c r="AX27" s="6"/>
      <c r="AY27" s="6"/>
      <c r="AZ27" s="6"/>
      <c r="BA27" s="50"/>
      <c r="BB27" s="6"/>
      <c r="BC27" s="6"/>
      <c r="BE27" s="60" t="s">
        <v>122</v>
      </c>
      <c r="BF27" s="74">
        <v>190583</v>
      </c>
      <c r="BG27" s="65">
        <v>49546852532.000175</v>
      </c>
      <c r="BH27" s="50">
        <v>259975.19470257146</v>
      </c>
      <c r="BI27" s="61">
        <v>1</v>
      </c>
      <c r="BJ27" s="61">
        <v>1.0000000000000002</v>
      </c>
      <c r="BO27"/>
      <c r="BZ27" s="60" t="s">
        <v>284</v>
      </c>
      <c r="CA27" s="74">
        <v>3533</v>
      </c>
      <c r="CB27" s="65">
        <v>622164939.97000206</v>
      </c>
      <c r="CC27" s="50">
        <v>176101.03027738523</v>
      </c>
      <c r="CD27" s="61">
        <v>1.8537854897866021E-2</v>
      </c>
      <c r="CE27" s="61">
        <v>1.2557103189716723E-2</v>
      </c>
      <c r="CN27" s="60" t="s">
        <v>433</v>
      </c>
      <c r="CO27" s="74">
        <v>876</v>
      </c>
      <c r="CP27" s="65">
        <v>232884842.66999996</v>
      </c>
      <c r="CQ27" s="50">
        <v>265850.27702054789</v>
      </c>
      <c r="CR27" s="61">
        <v>3.5267120254438587E-2</v>
      </c>
      <c r="CS27" s="61">
        <v>3.7403457702987981E-2</v>
      </c>
    </row>
    <row r="28" spans="1:97" x14ac:dyDescent="0.25">
      <c r="A28" s="60" t="s">
        <v>248</v>
      </c>
      <c r="B28" s="74">
        <v>3186</v>
      </c>
      <c r="C28" s="65">
        <v>1834488262.9299984</v>
      </c>
      <c r="D28" s="50">
        <v>575796.6926961703</v>
      </c>
      <c r="E28" s="61">
        <v>1.6717125871667463E-2</v>
      </c>
      <c r="F28" s="61">
        <v>3.7025323894089662E-2</v>
      </c>
      <c r="H28" s="60" t="s">
        <v>122</v>
      </c>
      <c r="I28" s="62">
        <v>190583</v>
      </c>
      <c r="J28" s="50">
        <v>49546852532.000053</v>
      </c>
      <c r="K28" s="50">
        <v>259975.19470257082</v>
      </c>
      <c r="L28" s="61">
        <v>1</v>
      </c>
      <c r="M28" s="61">
        <v>1.0000000000000007</v>
      </c>
      <c r="O28" s="60" t="s">
        <v>163</v>
      </c>
      <c r="P28" s="74">
        <v>21</v>
      </c>
      <c r="Q28" s="65">
        <v>4348734.55</v>
      </c>
      <c r="R28" s="50">
        <v>207082.59761904762</v>
      </c>
      <c r="S28" s="61">
        <v>1.1018821196014335E-4</v>
      </c>
      <c r="T28" s="61">
        <v>8.7770147401216837E-5</v>
      </c>
      <c r="AJ28" s="60" t="s">
        <v>209</v>
      </c>
      <c r="AK28" s="74">
        <v>1524</v>
      </c>
      <c r="AL28" s="65">
        <v>430101872.76999933</v>
      </c>
      <c r="AM28" s="50">
        <v>282219.07662073447</v>
      </c>
      <c r="AN28" s="61">
        <v>7.9965159536789752E-3</v>
      </c>
      <c r="AO28" s="61">
        <v>8.6807102931960485E-3</v>
      </c>
      <c r="AX28" s="6"/>
      <c r="AY28" s="6"/>
      <c r="AZ28" s="6"/>
      <c r="BA28" s="50"/>
      <c r="BB28" s="6"/>
      <c r="BC28" s="6"/>
      <c r="BO28"/>
      <c r="BZ28" s="60" t="s">
        <v>285</v>
      </c>
      <c r="CA28" s="74">
        <v>4988</v>
      </c>
      <c r="CB28" s="65">
        <v>955209801.50999999</v>
      </c>
      <c r="CC28" s="50">
        <v>191501.56405573376</v>
      </c>
      <c r="CD28" s="61">
        <v>2.6172323869390238E-2</v>
      </c>
      <c r="CE28" s="61">
        <v>1.9278919905014621E-2</v>
      </c>
      <c r="CN28" s="60" t="s">
        <v>434</v>
      </c>
      <c r="CO28" s="74">
        <v>628</v>
      </c>
      <c r="CP28" s="65">
        <v>161695210.50999999</v>
      </c>
      <c r="CQ28" s="50">
        <v>257476.44985668789</v>
      </c>
      <c r="CR28" s="61">
        <v>2.5282821369620356E-2</v>
      </c>
      <c r="CS28" s="61">
        <v>2.5969744950969348E-2</v>
      </c>
    </row>
    <row r="29" spans="1:97" x14ac:dyDescent="0.25">
      <c r="A29" s="60" t="s">
        <v>249</v>
      </c>
      <c r="B29" s="74">
        <v>2068</v>
      </c>
      <c r="C29" s="65">
        <v>1295225181.3700016</v>
      </c>
      <c r="D29" s="50">
        <v>626317.78596228315</v>
      </c>
      <c r="E29" s="61">
        <v>1.0850915349217926E-2</v>
      </c>
      <c r="F29" s="61">
        <v>2.6141422011286684E-2</v>
      </c>
      <c r="J29"/>
      <c r="O29" s="60" t="s">
        <v>122</v>
      </c>
      <c r="P29" s="74">
        <v>190583</v>
      </c>
      <c r="Q29" s="65">
        <v>49546852532.000053</v>
      </c>
      <c r="R29" s="50">
        <v>259975.19470257082</v>
      </c>
      <c r="S29" s="61">
        <v>1</v>
      </c>
      <c r="T29" s="61">
        <v>0.99999999999999967</v>
      </c>
      <c r="AJ29" s="60" t="s">
        <v>191</v>
      </c>
      <c r="AK29" s="74">
        <v>153</v>
      </c>
      <c r="AL29" s="65">
        <v>40281603.560000002</v>
      </c>
      <c r="AM29" s="50">
        <v>263278.45464052289</v>
      </c>
      <c r="AN29" s="61">
        <v>8.0279982999533015E-4</v>
      </c>
      <c r="AO29" s="61">
        <v>8.1300025130726452E-4</v>
      </c>
      <c r="AX29" s="6"/>
      <c r="AY29" s="6"/>
      <c r="AZ29" s="6"/>
      <c r="BA29" s="50"/>
      <c r="BB29" s="6"/>
      <c r="BC29" s="6"/>
      <c r="BO29"/>
      <c r="BZ29" s="60" t="s">
        <v>286</v>
      </c>
      <c r="CA29" s="74">
        <v>6118</v>
      </c>
      <c r="CB29" s="65">
        <v>1238163913.4400041</v>
      </c>
      <c r="CC29" s="50">
        <v>202380.50236024911</v>
      </c>
      <c r="CD29" s="61">
        <v>3.2101499084388432E-2</v>
      </c>
      <c r="CE29" s="61">
        <v>2.4989759190865459E-2</v>
      </c>
      <c r="CN29" s="60" t="s">
        <v>435</v>
      </c>
      <c r="CO29" s="74">
        <v>549</v>
      </c>
      <c r="CP29" s="65">
        <v>153524568.19000018</v>
      </c>
      <c r="CQ29" s="50">
        <v>279644.0222040076</v>
      </c>
      <c r="CR29" s="61">
        <v>2.2102339063569388E-2</v>
      </c>
      <c r="CS29" s="61">
        <v>2.4657464293634301E-2</v>
      </c>
    </row>
    <row r="30" spans="1:97" x14ac:dyDescent="0.25">
      <c r="A30" s="60" t="s">
        <v>250</v>
      </c>
      <c r="B30" s="74">
        <v>1561</v>
      </c>
      <c r="C30" s="65">
        <v>1055619056.0999994</v>
      </c>
      <c r="D30" s="50">
        <v>676245.39147982025</v>
      </c>
      <c r="E30" s="61">
        <v>8.1906570890373231E-3</v>
      </c>
      <c r="F30" s="61">
        <v>2.1305471531581611E-2</v>
      </c>
      <c r="J30"/>
      <c r="AJ30" s="60" t="s">
        <v>192</v>
      </c>
      <c r="AK30" s="74">
        <v>60</v>
      </c>
      <c r="AL30" s="65">
        <v>14335102.23</v>
      </c>
      <c r="AM30" s="50">
        <v>238918.37050000002</v>
      </c>
      <c r="AN30" s="61">
        <v>3.1482346274326671E-4</v>
      </c>
      <c r="AO30" s="61">
        <v>2.8932417494616068E-4</v>
      </c>
      <c r="AX30" s="13" t="s">
        <v>41</v>
      </c>
      <c r="AY30" s="10"/>
      <c r="AZ30" s="11"/>
      <c r="BA30" s="12"/>
      <c r="BB30" s="11"/>
      <c r="BC30" s="11"/>
      <c r="BO30"/>
      <c r="BZ30" s="60" t="s">
        <v>287</v>
      </c>
      <c r="CA30" s="74">
        <v>5807</v>
      </c>
      <c r="CB30" s="65">
        <v>1200108301.950001</v>
      </c>
      <c r="CC30" s="50">
        <v>206665.80023247821</v>
      </c>
      <c r="CD30" s="61">
        <v>3.0469664135835829E-2</v>
      </c>
      <c r="CE30" s="61">
        <v>2.4221685952198591E-2</v>
      </c>
      <c r="CN30" s="60" t="s">
        <v>436</v>
      </c>
      <c r="CO30" s="74">
        <v>468</v>
      </c>
      <c r="CP30" s="65">
        <v>126223172.18999991</v>
      </c>
      <c r="CQ30" s="50">
        <v>269707.63288461522</v>
      </c>
      <c r="CR30" s="61">
        <v>1.8841338218124722E-2</v>
      </c>
      <c r="CS30" s="61">
        <v>2.0272607817742743E-2</v>
      </c>
    </row>
    <row r="31" spans="1:97" x14ac:dyDescent="0.25">
      <c r="A31" s="60" t="s">
        <v>251</v>
      </c>
      <c r="B31" s="74">
        <v>1172</v>
      </c>
      <c r="C31" s="65">
        <v>850873985.9600004</v>
      </c>
      <c r="D31" s="50">
        <v>726001.69450511981</v>
      </c>
      <c r="E31" s="61">
        <v>6.1495516389184768E-3</v>
      </c>
      <c r="F31" s="61">
        <v>1.7173118825468472E-2</v>
      </c>
      <c r="J31"/>
      <c r="AJ31" s="60" t="s">
        <v>188</v>
      </c>
      <c r="AK31" s="74">
        <v>133</v>
      </c>
      <c r="AL31" s="65">
        <v>22914390.210000001</v>
      </c>
      <c r="AM31" s="50">
        <v>172288.64819548873</v>
      </c>
      <c r="AN31" s="61">
        <v>6.9785867574757453E-4</v>
      </c>
      <c r="AO31" s="61">
        <v>4.6247923004192145E-4</v>
      </c>
      <c r="AX31" s="51" t="s">
        <v>43</v>
      </c>
      <c r="AY31" s="47" t="s" vm="4">
        <v>489</v>
      </c>
      <c r="AZ31" s="11"/>
      <c r="BA31" s="12"/>
      <c r="BB31" s="11"/>
      <c r="BC31" s="11"/>
      <c r="BO31"/>
      <c r="BZ31" s="60" t="s">
        <v>288</v>
      </c>
      <c r="CA31" s="74">
        <v>8747</v>
      </c>
      <c r="CB31" s="65">
        <v>1826569046.6600089</v>
      </c>
      <c r="CC31" s="50">
        <v>208822.34442208859</v>
      </c>
      <c r="CD31" s="61">
        <v>4.5896013810255896E-2</v>
      </c>
      <c r="CE31" s="61">
        <v>3.6865491011367692E-2</v>
      </c>
      <c r="CN31" s="60" t="s">
        <v>437</v>
      </c>
      <c r="CO31" s="74">
        <v>403</v>
      </c>
      <c r="CP31" s="65">
        <v>99720111.330000088</v>
      </c>
      <c r="CQ31" s="50">
        <v>247444.44498759328</v>
      </c>
      <c r="CR31" s="61">
        <v>1.6224485687829623E-2</v>
      </c>
      <c r="CS31" s="61">
        <v>1.6015971342343571E-2</v>
      </c>
    </row>
    <row r="32" spans="1:97" x14ac:dyDescent="0.25">
      <c r="A32" s="60" t="s">
        <v>252</v>
      </c>
      <c r="B32" s="74">
        <v>944</v>
      </c>
      <c r="C32" s="65">
        <v>734351137.17000008</v>
      </c>
      <c r="D32" s="50">
        <v>777914.34022245766</v>
      </c>
      <c r="E32" s="61">
        <v>4.9532224804940631E-3</v>
      </c>
      <c r="F32" s="61">
        <v>1.482134786857987E-2</v>
      </c>
      <c r="J32"/>
      <c r="AJ32" s="60" t="s">
        <v>122</v>
      </c>
      <c r="AK32" s="74">
        <v>190583</v>
      </c>
      <c r="AL32" s="65">
        <v>49546852532.000053</v>
      </c>
      <c r="AM32" s="50">
        <v>259975.19470257082</v>
      </c>
      <c r="AN32" s="61">
        <v>1</v>
      </c>
      <c r="AO32" s="61">
        <v>1.0000000000000004</v>
      </c>
      <c r="AX32" s="51" t="s">
        <v>29</v>
      </c>
      <c r="AY32" s="53" t="s" vm="2">
        <v>301</v>
      </c>
      <c r="AZ32" s="6"/>
      <c r="BA32" s="50"/>
      <c r="BB32" s="6"/>
      <c r="BC32" s="6"/>
      <c r="BO32"/>
      <c r="BZ32" s="60" t="s">
        <v>289</v>
      </c>
      <c r="CA32" s="74">
        <v>13328</v>
      </c>
      <c r="CB32" s="65">
        <v>2988066240.7799978</v>
      </c>
      <c r="CC32" s="50">
        <v>224194.64591686658</v>
      </c>
      <c r="CD32" s="61">
        <v>6.9932785190704311E-2</v>
      </c>
      <c r="CE32" s="61">
        <v>6.0307892188512714E-2</v>
      </c>
      <c r="CN32" s="60" t="s">
        <v>438</v>
      </c>
      <c r="CO32" s="74">
        <v>677</v>
      </c>
      <c r="CP32" s="65">
        <v>171570161.89999998</v>
      </c>
      <c r="CQ32" s="50">
        <v>253427.12245199404</v>
      </c>
      <c r="CR32" s="61">
        <v>2.7255525584765891E-2</v>
      </c>
      <c r="CS32" s="61">
        <v>2.7555753393598264E-2</v>
      </c>
    </row>
    <row r="33" spans="1:97" x14ac:dyDescent="0.25">
      <c r="A33" s="60" t="s">
        <v>253</v>
      </c>
      <c r="B33" s="74">
        <v>601</v>
      </c>
      <c r="C33" s="65">
        <v>497569514.23999995</v>
      </c>
      <c r="D33" s="50">
        <v>827902.68592346087</v>
      </c>
      <c r="E33" s="61">
        <v>3.1534816851450549E-3</v>
      </c>
      <c r="F33" s="61">
        <v>1.0042404084470199E-2</v>
      </c>
      <c r="J33"/>
      <c r="AX33" s="51" t="s">
        <v>30</v>
      </c>
      <c r="AY33" s="53" t="s" vm="6">
        <v>500</v>
      </c>
      <c r="AZ33" s="6"/>
      <c r="BA33" s="50"/>
      <c r="BB33" s="6"/>
      <c r="BC33" s="6"/>
      <c r="BO33"/>
      <c r="BZ33" s="60" t="s">
        <v>290</v>
      </c>
      <c r="CA33" s="74">
        <v>15325</v>
      </c>
      <c r="CB33" s="65">
        <v>3555549072.0100036</v>
      </c>
      <c r="CC33" s="50">
        <v>232009.72737422536</v>
      </c>
      <c r="CD33" s="61">
        <v>8.04111594423427E-2</v>
      </c>
      <c r="CE33" s="61">
        <v>7.1761350929680875E-2</v>
      </c>
      <c r="CN33" s="60" t="s">
        <v>439</v>
      </c>
      <c r="CO33" s="74">
        <v>733</v>
      </c>
      <c r="CP33" s="65">
        <v>193313901.46000007</v>
      </c>
      <c r="CQ33" s="50">
        <v>263729.74278308329</v>
      </c>
      <c r="CR33" s="61">
        <v>2.9510044687789363E-2</v>
      </c>
      <c r="CS33" s="61">
        <v>3.1047998889754024E-2</v>
      </c>
    </row>
    <row r="34" spans="1:97" x14ac:dyDescent="0.25">
      <c r="A34" s="60" t="s">
        <v>254</v>
      </c>
      <c r="B34" s="74">
        <v>529</v>
      </c>
      <c r="C34" s="65">
        <v>463856404.3300001</v>
      </c>
      <c r="D34" s="50">
        <v>876855.20667296811</v>
      </c>
      <c r="E34" s="61">
        <v>2.775693529853135E-3</v>
      </c>
      <c r="F34" s="61">
        <v>9.3619751936899805E-3</v>
      </c>
      <c r="AX34" s="51" t="s">
        <v>19</v>
      </c>
      <c r="AY34" s="47" t="s" vm="5">
        <v>18</v>
      </c>
      <c r="AZ34" s="6"/>
      <c r="BA34" s="50"/>
      <c r="BB34" s="6"/>
      <c r="BC34" s="6"/>
      <c r="BO34"/>
      <c r="BZ34" s="60" t="s">
        <v>291</v>
      </c>
      <c r="CA34" s="74">
        <v>13288</v>
      </c>
      <c r="CB34" s="65">
        <v>3132937958.1600018</v>
      </c>
      <c r="CC34" s="50">
        <v>235771.97156532222</v>
      </c>
      <c r="CD34" s="61">
        <v>6.9722902882208795E-2</v>
      </c>
      <c r="CE34" s="61">
        <v>6.3231826000179917E-2</v>
      </c>
      <c r="CN34" s="60" t="s">
        <v>440</v>
      </c>
      <c r="CO34" s="74">
        <v>633</v>
      </c>
      <c r="CP34" s="65">
        <v>154353086.70000011</v>
      </c>
      <c r="CQ34" s="50">
        <v>243843.7388625594</v>
      </c>
      <c r="CR34" s="61">
        <v>2.5484117718104594E-2</v>
      </c>
      <c r="CS34" s="61">
        <v>2.4790532022257745E-2</v>
      </c>
    </row>
    <row r="35" spans="1:97" x14ac:dyDescent="0.25">
      <c r="A35" s="60" t="s">
        <v>255</v>
      </c>
      <c r="B35" s="74">
        <v>344</v>
      </c>
      <c r="C35" s="65">
        <v>318519789.82000011</v>
      </c>
      <c r="D35" s="50">
        <v>925929.62156976771</v>
      </c>
      <c r="E35" s="61">
        <v>1.8049878530613959E-3</v>
      </c>
      <c r="F35" s="61">
        <v>6.4286584019496032E-3</v>
      </c>
      <c r="AX35" s="6"/>
      <c r="AY35" s="6"/>
      <c r="AZ35" s="6"/>
      <c r="BA35" s="50"/>
      <c r="BB35" s="6"/>
      <c r="BC35" s="6"/>
      <c r="BO35"/>
      <c r="BZ35" s="60" t="s">
        <v>292</v>
      </c>
      <c r="CA35" s="74">
        <v>19190</v>
      </c>
      <c r="CB35" s="65">
        <v>4727387344.8800144</v>
      </c>
      <c r="CC35" s="50">
        <v>246346.39629390382</v>
      </c>
      <c r="CD35" s="61">
        <v>0.10069103750072148</v>
      </c>
      <c r="CE35" s="61">
        <v>9.5412465238368258E-2</v>
      </c>
      <c r="CN35" s="60" t="s">
        <v>441</v>
      </c>
      <c r="CO35" s="74">
        <v>685</v>
      </c>
      <c r="CP35" s="65">
        <v>166046015.18000025</v>
      </c>
      <c r="CQ35" s="50">
        <v>242402.9418686135</v>
      </c>
      <c r="CR35" s="61">
        <v>2.7577599742340673E-2</v>
      </c>
      <c r="CS35" s="61">
        <v>2.6668524384540791E-2</v>
      </c>
    </row>
    <row r="36" spans="1:97" x14ac:dyDescent="0.25">
      <c r="A36" s="60" t="s">
        <v>256</v>
      </c>
      <c r="B36" s="74">
        <v>490</v>
      </c>
      <c r="C36" s="65">
        <v>480947686.01999992</v>
      </c>
      <c r="D36" s="50">
        <v>981525.88983673451</v>
      </c>
      <c r="E36" s="61">
        <v>2.5710582790700117E-3</v>
      </c>
      <c r="F36" s="61">
        <v>9.7069271092321708E-3</v>
      </c>
      <c r="AX36" s="47"/>
      <c r="AY36" s="56" t="s">
        <v>0</v>
      </c>
      <c r="AZ36" s="65"/>
      <c r="BA36" s="65"/>
      <c r="BB36" s="65"/>
      <c r="BC36" s="65"/>
      <c r="BO36"/>
      <c r="BZ36" s="60" t="s">
        <v>293</v>
      </c>
      <c r="CA36" s="74">
        <v>12233</v>
      </c>
      <c r="CB36" s="65">
        <v>3255772633.7099934</v>
      </c>
      <c r="CC36" s="50">
        <v>266146.70430066163</v>
      </c>
      <c r="CD36" s="61">
        <v>6.4187256995639694E-2</v>
      </c>
      <c r="CE36" s="61">
        <v>6.5710988031121409E-2</v>
      </c>
      <c r="CN36" s="60" t="s">
        <v>442</v>
      </c>
      <c r="CO36" s="74">
        <v>706</v>
      </c>
      <c r="CP36" s="65">
        <v>180063136.31000015</v>
      </c>
      <c r="CQ36" s="50">
        <v>255046.93528328632</v>
      </c>
      <c r="CR36" s="61">
        <v>2.8423044405974474E-2</v>
      </c>
      <c r="CS36" s="61">
        <v>2.8919803563093999E-2</v>
      </c>
    </row>
    <row r="37" spans="1:97" x14ac:dyDescent="0.25">
      <c r="A37" s="60" t="s">
        <v>257</v>
      </c>
      <c r="B37" s="74">
        <v>258</v>
      </c>
      <c r="C37" s="65">
        <v>265435839.29000014</v>
      </c>
      <c r="D37" s="50">
        <v>1028821.0825193804</v>
      </c>
      <c r="E37" s="61">
        <v>1.3537408897960469E-3</v>
      </c>
      <c r="F37" s="61">
        <v>5.3572694475106618E-3</v>
      </c>
      <c r="AX37" s="49" t="s">
        <v>28</v>
      </c>
      <c r="AY37" s="66" t="s">
        <v>116</v>
      </c>
      <c r="AZ37" s="60" t="s">
        <v>117</v>
      </c>
      <c r="BA37" s="65" t="s">
        <v>118</v>
      </c>
      <c r="BB37" s="60" t="s">
        <v>119</v>
      </c>
      <c r="BC37" s="60" t="s">
        <v>120</v>
      </c>
      <c r="BZ37" s="60" t="s">
        <v>294</v>
      </c>
      <c r="CA37" s="74">
        <v>20042</v>
      </c>
      <c r="CB37" s="65">
        <v>6167115313.0700331</v>
      </c>
      <c r="CC37" s="50">
        <v>307709.57554485748</v>
      </c>
      <c r="CD37" s="61">
        <v>0.10516153067167586</v>
      </c>
      <c r="CE37" s="61">
        <v>0.12447037496654249</v>
      </c>
      <c r="CN37" s="60" t="s">
        <v>443</v>
      </c>
      <c r="CO37" s="74">
        <v>705</v>
      </c>
      <c r="CP37" s="65">
        <v>185580129.48999998</v>
      </c>
      <c r="CQ37" s="50">
        <v>263234.2262269503</v>
      </c>
      <c r="CR37" s="61">
        <v>2.8382785136277629E-2</v>
      </c>
      <c r="CS37" s="61">
        <v>2.9805883647525268E-2</v>
      </c>
    </row>
    <row r="38" spans="1:97" x14ac:dyDescent="0.25">
      <c r="A38" s="60" t="s">
        <v>258</v>
      </c>
      <c r="B38" s="74">
        <v>233</v>
      </c>
      <c r="C38" s="65">
        <v>251335540.49000004</v>
      </c>
      <c r="D38" s="50">
        <v>1078693.3068240345</v>
      </c>
      <c r="E38" s="61">
        <v>1.2225644469863524E-3</v>
      </c>
      <c r="F38" s="61">
        <v>5.0726842906453819E-3</v>
      </c>
      <c r="AX38" s="60" t="s">
        <v>342</v>
      </c>
      <c r="AY38" s="74">
        <v>52730</v>
      </c>
      <c r="AZ38" s="65">
        <v>15574154347.059912</v>
      </c>
      <c r="BA38" s="62">
        <v>295356.61572273681</v>
      </c>
      <c r="BB38" s="61">
        <v>0.27667735317420755</v>
      </c>
      <c r="BC38" s="61">
        <v>0.31433186067674568</v>
      </c>
      <c r="BZ38" s="60" t="s">
        <v>295</v>
      </c>
      <c r="CA38" s="74">
        <v>15078</v>
      </c>
      <c r="CB38" s="65">
        <v>4807472453.6399889</v>
      </c>
      <c r="CC38" s="50">
        <v>318840.19456426508</v>
      </c>
      <c r="CD38" s="61">
        <v>7.9115136187382931E-2</v>
      </c>
      <c r="CE38" s="61">
        <v>9.7028816321582903E-2</v>
      </c>
      <c r="CN38" s="60" t="s">
        <v>444</v>
      </c>
      <c r="CO38" s="74">
        <v>634</v>
      </c>
      <c r="CP38" s="65">
        <v>167024641.88000032</v>
      </c>
      <c r="CQ38" s="50">
        <v>263445.80738170398</v>
      </c>
      <c r="CR38" s="61">
        <v>2.5524376987801443E-2</v>
      </c>
      <c r="CS38" s="61">
        <v>2.6825700875551566E-2</v>
      </c>
    </row>
    <row r="39" spans="1:97" x14ac:dyDescent="0.25">
      <c r="A39" s="60" t="s">
        <v>259</v>
      </c>
      <c r="B39" s="74">
        <v>176</v>
      </c>
      <c r="C39" s="65">
        <v>198057632.34999999</v>
      </c>
      <c r="D39" s="50">
        <v>1125327.4565340909</v>
      </c>
      <c r="E39" s="61">
        <v>9.2348215738024902E-4</v>
      </c>
      <c r="F39" s="61">
        <v>3.9973807059103016E-3</v>
      </c>
      <c r="AX39" s="60" t="s">
        <v>343</v>
      </c>
      <c r="AY39" s="74">
        <v>133806</v>
      </c>
      <c r="AZ39" s="65">
        <v>32910721794.040062</v>
      </c>
      <c r="BA39" s="62">
        <v>245958.49060610184</v>
      </c>
      <c r="BB39" s="61">
        <v>0.70208780426375905</v>
      </c>
      <c r="BC39" s="61">
        <v>0.66423435823263466</v>
      </c>
      <c r="BZ39" s="60" t="s">
        <v>122</v>
      </c>
      <c r="CA39" s="74">
        <v>190583</v>
      </c>
      <c r="CB39" s="65">
        <v>49546852532.000053</v>
      </c>
      <c r="CC39" s="50">
        <v>259975.19470257082</v>
      </c>
      <c r="CD39" s="61">
        <v>1</v>
      </c>
      <c r="CE39" s="61">
        <v>0.99999999999999989</v>
      </c>
      <c r="CN39" s="60" t="s">
        <v>445</v>
      </c>
      <c r="CO39" s="74">
        <v>717</v>
      </c>
      <c r="CP39" s="65">
        <v>195773356.78999996</v>
      </c>
      <c r="CQ39" s="50">
        <v>273045.12801952573</v>
      </c>
      <c r="CR39" s="61">
        <v>2.8865896372639799E-2</v>
      </c>
      <c r="CS39" s="61">
        <v>3.1443010142325721E-2</v>
      </c>
    </row>
    <row r="40" spans="1:97" x14ac:dyDescent="0.25">
      <c r="A40" s="60" t="s">
        <v>260</v>
      </c>
      <c r="B40" s="74">
        <v>209</v>
      </c>
      <c r="C40" s="65">
        <v>246698736.73999998</v>
      </c>
      <c r="D40" s="50">
        <v>1180376.7308133971</v>
      </c>
      <c r="E40" s="61">
        <v>1.0966350618890456E-3</v>
      </c>
      <c r="F40" s="61">
        <v>4.9791000665616149E-3</v>
      </c>
      <c r="AX40" s="60" t="s">
        <v>344</v>
      </c>
      <c r="AY40" s="74">
        <v>2982</v>
      </c>
      <c r="AZ40" s="65">
        <v>855625821.39999986</v>
      </c>
      <c r="BA40" s="62">
        <v>286930.18826291076</v>
      </c>
      <c r="BB40" s="61">
        <v>1.5646726098340356E-2</v>
      </c>
      <c r="BC40" s="61">
        <v>1.7269024724575387E-2</v>
      </c>
      <c r="CN40" s="60" t="s">
        <v>446</v>
      </c>
      <c r="CO40" s="74">
        <v>817</v>
      </c>
      <c r="CP40" s="65">
        <v>221590780.69</v>
      </c>
      <c r="CQ40" s="50">
        <v>271224.9457649939</v>
      </c>
      <c r="CR40" s="61">
        <v>3.2891823342324572E-2</v>
      </c>
      <c r="CS40" s="61">
        <v>3.5589526986327086E-2</v>
      </c>
    </row>
    <row r="41" spans="1:97" x14ac:dyDescent="0.25">
      <c r="A41" s="60" t="s">
        <v>261</v>
      </c>
      <c r="B41" s="74">
        <v>126</v>
      </c>
      <c r="C41" s="65">
        <v>154653494.77999997</v>
      </c>
      <c r="D41" s="50">
        <v>1227408.6887301586</v>
      </c>
      <c r="E41" s="61">
        <v>6.6112927176086012E-4</v>
      </c>
      <c r="F41" s="61">
        <v>3.1213586106224674E-3</v>
      </c>
      <c r="AX41" s="60" t="s">
        <v>345</v>
      </c>
      <c r="AY41" s="74">
        <v>1065</v>
      </c>
      <c r="AZ41" s="65">
        <v>206350569.50000015</v>
      </c>
      <c r="BA41" s="62">
        <v>193756.40328638512</v>
      </c>
      <c r="BB41" s="61">
        <v>5.5881164636929839E-3</v>
      </c>
      <c r="BC41" s="61">
        <v>4.1647563660421744E-3</v>
      </c>
      <c r="BL41" s="51" t="s">
        <v>43</v>
      </c>
      <c r="BM41" s="47" t="s" vm="4">
        <v>489</v>
      </c>
      <c r="BN41" s="6"/>
      <c r="BO41" s="50"/>
      <c r="BP41" s="6"/>
      <c r="BQ41" s="6"/>
      <c r="CN41" s="60" t="s">
        <v>447</v>
      </c>
      <c r="CO41" s="74">
        <v>1119</v>
      </c>
      <c r="CP41" s="65">
        <v>310248063.45999962</v>
      </c>
      <c r="CQ41" s="50">
        <v>277254.74840035714</v>
      </c>
      <c r="CR41" s="61">
        <v>4.5050122790772577E-2</v>
      </c>
      <c r="CS41" s="61">
        <v>4.9828705835971911E-2</v>
      </c>
    </row>
    <row r="42" spans="1:97" x14ac:dyDescent="0.25">
      <c r="A42" s="60" t="s">
        <v>262</v>
      </c>
      <c r="B42" s="74">
        <v>123</v>
      </c>
      <c r="C42" s="65">
        <v>156919056.29000005</v>
      </c>
      <c r="D42" s="50">
        <v>1275764.6852845533</v>
      </c>
      <c r="E42" s="61">
        <v>6.4538809862369677E-4</v>
      </c>
      <c r="F42" s="61">
        <v>3.1670842499763874E-3</v>
      </c>
      <c r="AX42" s="60" t="s">
        <v>122</v>
      </c>
      <c r="AY42" s="74">
        <v>190583</v>
      </c>
      <c r="AZ42" s="65">
        <v>49546852532.000175</v>
      </c>
      <c r="BA42" s="62">
        <v>259975.19470257146</v>
      </c>
      <c r="BB42" s="61">
        <v>1</v>
      </c>
      <c r="BC42" s="61">
        <v>1.000000000000002</v>
      </c>
      <c r="BL42" s="51" t="s">
        <v>29</v>
      </c>
      <c r="BM42" s="53" t="s" vm="2">
        <v>301</v>
      </c>
      <c r="BN42" s="6"/>
      <c r="BO42" s="50"/>
      <c r="BP42" s="6"/>
      <c r="BQ42" s="6"/>
      <c r="CN42" s="60" t="s">
        <v>448</v>
      </c>
      <c r="CO42" s="74">
        <v>797</v>
      </c>
      <c r="CP42" s="65">
        <v>219372147.60999984</v>
      </c>
      <c r="CQ42" s="50">
        <v>275247.36212045146</v>
      </c>
      <c r="CR42" s="61">
        <v>3.208663794838762E-2</v>
      </c>
      <c r="CS42" s="61">
        <v>3.5233194012421067E-2</v>
      </c>
    </row>
    <row r="43" spans="1:97" x14ac:dyDescent="0.25">
      <c r="A43" s="60" t="s">
        <v>340</v>
      </c>
      <c r="B43" s="74">
        <v>82</v>
      </c>
      <c r="C43" s="65">
        <v>108711550.42999999</v>
      </c>
      <c r="D43" s="50">
        <v>1325750.615</v>
      </c>
      <c r="E43" s="61">
        <v>4.3025873241579786E-4</v>
      </c>
      <c r="F43" s="61">
        <v>2.1941161723600536E-3</v>
      </c>
      <c r="BL43" s="51" t="s">
        <v>20</v>
      </c>
      <c r="BM43" s="53" t="s" vm="6">
        <v>500</v>
      </c>
      <c r="BN43" s="6"/>
      <c r="BO43" s="50"/>
      <c r="BP43" s="6"/>
      <c r="BQ43" s="6"/>
      <c r="CN43" s="60" t="s">
        <v>449</v>
      </c>
      <c r="CO43" s="74">
        <v>380</v>
      </c>
      <c r="CP43" s="65">
        <v>100224205.50999998</v>
      </c>
      <c r="CQ43" s="50">
        <v>263747.90923684207</v>
      </c>
      <c r="CR43" s="61">
        <v>1.5298522484802126E-2</v>
      </c>
      <c r="CS43" s="61">
        <v>1.6096933525729055E-2</v>
      </c>
    </row>
    <row r="44" spans="1:97" x14ac:dyDescent="0.25">
      <c r="A44" s="60" t="s">
        <v>263</v>
      </c>
      <c r="B44" s="74">
        <v>81</v>
      </c>
      <c r="C44" s="65">
        <v>111832515.05000003</v>
      </c>
      <c r="D44" s="50">
        <v>1380648.3339506176</v>
      </c>
      <c r="E44" s="61">
        <v>4.2501167470341004E-4</v>
      </c>
      <c r="F44" s="61">
        <v>2.2571063414729021E-3</v>
      </c>
      <c r="AX44" s="15"/>
      <c r="AY44" s="16"/>
      <c r="AZ44" s="17"/>
      <c r="BA44" s="14"/>
      <c r="BB44" s="18"/>
      <c r="BC44" s="18"/>
      <c r="BL44" s="51" t="s">
        <v>19</v>
      </c>
      <c r="BM44" s="47" t="s" vm="5">
        <v>18</v>
      </c>
      <c r="BN44" s="6"/>
      <c r="BO44" s="50"/>
      <c r="BP44" s="6"/>
      <c r="BQ44" s="6"/>
      <c r="CN44" s="60" t="s">
        <v>450</v>
      </c>
      <c r="CO44" s="74">
        <v>323</v>
      </c>
      <c r="CP44" s="65">
        <v>84412979.309999958</v>
      </c>
      <c r="CQ44" s="50">
        <v>261340.49321981412</v>
      </c>
      <c r="CR44" s="61">
        <v>1.3003744112081807E-2</v>
      </c>
      <c r="CS44" s="61">
        <v>1.35575044945229E-2</v>
      </c>
    </row>
    <row r="45" spans="1:97" x14ac:dyDescent="0.25">
      <c r="A45" s="60" t="s">
        <v>264</v>
      </c>
      <c r="B45" s="74">
        <v>61</v>
      </c>
      <c r="C45" s="65">
        <v>87128300</v>
      </c>
      <c r="D45" s="50">
        <v>1428332.7868852459</v>
      </c>
      <c r="E45" s="61">
        <v>3.2007052045565447E-4</v>
      </c>
      <c r="F45" s="61">
        <v>1.7585032256837668E-3</v>
      </c>
      <c r="AX45" s="15"/>
      <c r="AY45" s="16"/>
      <c r="AZ45" s="17"/>
      <c r="BA45" s="14"/>
      <c r="BB45" s="18"/>
      <c r="BC45" s="18"/>
      <c r="BL45" s="6"/>
      <c r="BM45" s="8"/>
      <c r="BN45" s="6"/>
      <c r="BO45" s="50"/>
      <c r="BP45" s="6"/>
      <c r="BQ45" s="6"/>
      <c r="CN45" s="60" t="s">
        <v>451</v>
      </c>
      <c r="CO45" s="74">
        <v>419</v>
      </c>
      <c r="CP45" s="65">
        <v>115550902.63000004</v>
      </c>
      <c r="CQ45" s="50">
        <v>275777.81057279248</v>
      </c>
      <c r="CR45" s="61">
        <v>1.6868634002979187E-2</v>
      </c>
      <c r="CS45" s="61">
        <v>1.8558542709400837E-2</v>
      </c>
    </row>
    <row r="46" spans="1:97" x14ac:dyDescent="0.25">
      <c r="A46" s="60" t="s">
        <v>265</v>
      </c>
      <c r="B46" s="74">
        <v>83</v>
      </c>
      <c r="C46" s="65">
        <v>123123403.30999997</v>
      </c>
      <c r="D46" s="50">
        <v>1483414.4977108431</v>
      </c>
      <c r="E46" s="61">
        <v>4.3550579012818563E-4</v>
      </c>
      <c r="F46" s="61">
        <v>2.4849893992858613E-3</v>
      </c>
      <c r="AX46" s="15"/>
      <c r="AY46" s="16"/>
      <c r="AZ46" s="17"/>
      <c r="BA46" s="14"/>
      <c r="BB46" s="18"/>
      <c r="BC46" s="18"/>
      <c r="BL46" s="47"/>
      <c r="BM46" s="56" t="s">
        <v>0</v>
      </c>
      <c r="BN46" s="65"/>
      <c r="BO46" s="65"/>
      <c r="BP46" s="65"/>
      <c r="BQ46" s="65"/>
      <c r="CN46" s="60" t="s">
        <v>452</v>
      </c>
      <c r="CO46" s="74">
        <v>22</v>
      </c>
      <c r="CP46" s="65">
        <v>3388365.96</v>
      </c>
      <c r="CQ46" s="50">
        <v>154016.63454545455</v>
      </c>
      <c r="CR46" s="61">
        <v>8.8570393333064937E-4</v>
      </c>
      <c r="CS46" s="61">
        <v>5.4420288333960505E-4</v>
      </c>
    </row>
    <row r="47" spans="1:97" x14ac:dyDescent="0.25">
      <c r="A47" s="60" t="s">
        <v>122</v>
      </c>
      <c r="B47" s="74">
        <v>190583</v>
      </c>
      <c r="C47" s="65">
        <v>49546852532.000053</v>
      </c>
      <c r="D47" s="50">
        <v>259975.19470257082</v>
      </c>
      <c r="E47" s="61">
        <v>1</v>
      </c>
      <c r="F47" s="61">
        <v>1</v>
      </c>
      <c r="AX47" s="13" t="s">
        <v>40</v>
      </c>
      <c r="AY47" s="10"/>
      <c r="AZ47" s="11"/>
      <c r="BA47" s="12"/>
      <c r="BB47" s="11"/>
      <c r="BC47" s="11"/>
      <c r="BL47" s="49" t="s">
        <v>25</v>
      </c>
      <c r="BM47" s="66" t="s">
        <v>116</v>
      </c>
      <c r="BN47" s="60" t="s">
        <v>117</v>
      </c>
      <c r="BO47" s="65" t="s">
        <v>118</v>
      </c>
      <c r="BP47" s="60" t="s">
        <v>222</v>
      </c>
      <c r="BQ47" s="60" t="s">
        <v>223</v>
      </c>
      <c r="CN47" s="60" t="s">
        <v>453</v>
      </c>
      <c r="CO47" s="74">
        <v>16</v>
      </c>
      <c r="CP47" s="65">
        <v>3078989.5199999996</v>
      </c>
      <c r="CQ47" s="50">
        <v>192436.84499999997</v>
      </c>
      <c r="CR47" s="61">
        <v>6.4414831514956322E-4</v>
      </c>
      <c r="CS47" s="61">
        <v>4.9451416828553735E-4</v>
      </c>
    </row>
    <row r="48" spans="1:97" x14ac:dyDescent="0.25">
      <c r="AX48" s="51" t="s">
        <v>43</v>
      </c>
      <c r="AY48" s="47" t="s" vm="4">
        <v>489</v>
      </c>
      <c r="BL48" s="60" t="s">
        <v>374</v>
      </c>
      <c r="BM48" s="74">
        <v>190583</v>
      </c>
      <c r="BN48" s="65">
        <v>49546852532.000175</v>
      </c>
      <c r="BO48" s="50">
        <v>259975.19470257146</v>
      </c>
      <c r="BP48" s="61">
        <v>1</v>
      </c>
      <c r="BQ48" s="61">
        <v>1</v>
      </c>
      <c r="BZ48" s="13" t="s">
        <v>519</v>
      </c>
      <c r="CG48" s="51" t="s">
        <v>43</v>
      </c>
      <c r="CH48" s="47" t="s" vm="4">
        <v>489</v>
      </c>
      <c r="CN48" s="60" t="s">
        <v>454</v>
      </c>
      <c r="CO48" s="74">
        <v>31</v>
      </c>
      <c r="CP48" s="65">
        <v>5536636.3199999984</v>
      </c>
      <c r="CQ48" s="50">
        <v>178601.17161290318</v>
      </c>
      <c r="CR48" s="61">
        <v>1.2480373606022787E-3</v>
      </c>
      <c r="CS48" s="61">
        <v>8.8923495422754727E-4</v>
      </c>
    </row>
    <row r="49" spans="50:97" x14ac:dyDescent="0.25">
      <c r="AX49" s="51" t="s">
        <v>29</v>
      </c>
      <c r="AY49" s="47" t="s" vm="2">
        <v>301</v>
      </c>
      <c r="AZ49" s="2"/>
      <c r="BB49" s="2"/>
      <c r="BC49" s="2"/>
      <c r="BL49" s="72" t="s">
        <v>394</v>
      </c>
      <c r="BM49" s="74">
        <v>4261</v>
      </c>
      <c r="BN49" s="65">
        <v>1071049388.6000031</v>
      </c>
      <c r="BO49" s="50">
        <v>251361.03933349054</v>
      </c>
      <c r="BP49" s="61">
        <v>2.2357712912484326E-2</v>
      </c>
      <c r="BQ49" s="61">
        <v>2.1616900647891985E-2</v>
      </c>
      <c r="BZ49" s="51" t="s">
        <v>43</v>
      </c>
      <c r="CA49" s="47" t="s" vm="4">
        <v>489</v>
      </c>
      <c r="CG49" s="51" t="s">
        <v>20</v>
      </c>
      <c r="CH49" s="47" t="s" vm="6">
        <v>500</v>
      </c>
      <c r="CN49" s="60" t="s">
        <v>455</v>
      </c>
      <c r="CO49" s="74">
        <v>42</v>
      </c>
      <c r="CP49" s="65">
        <v>8731919.2099999972</v>
      </c>
      <c r="CQ49" s="50">
        <v>207902.83833333326</v>
      </c>
      <c r="CR49" s="61">
        <v>1.6908893272676033E-3</v>
      </c>
      <c r="CS49" s="61">
        <v>1.4024269123428701E-3</v>
      </c>
    </row>
    <row r="50" spans="50:97" x14ac:dyDescent="0.25">
      <c r="AX50" s="51" t="s">
        <v>20</v>
      </c>
      <c r="AY50" s="47" t="s" vm="6">
        <v>500</v>
      </c>
      <c r="AZ50" s="2"/>
      <c r="BB50" s="2"/>
      <c r="BC50" s="2"/>
      <c r="BL50" s="72" t="s">
        <v>395</v>
      </c>
      <c r="BM50" s="74">
        <v>14736</v>
      </c>
      <c r="BN50" s="65">
        <v>3069563124.3599887</v>
      </c>
      <c r="BO50" s="50">
        <v>208303.68650651388</v>
      </c>
      <c r="BP50" s="61">
        <v>7.7320642449746305E-2</v>
      </c>
      <c r="BQ50" s="61">
        <v>6.1952737005392833E-2</v>
      </c>
      <c r="BZ50" s="51" t="s">
        <v>29</v>
      </c>
      <c r="CA50" s="47" t="s" vm="2">
        <v>301</v>
      </c>
      <c r="CG50" s="51" t="s">
        <v>29</v>
      </c>
      <c r="CH50" s="47" t="s" vm="2">
        <v>301</v>
      </c>
      <c r="CN50" s="60" t="s">
        <v>456</v>
      </c>
      <c r="CO50" s="74">
        <v>35</v>
      </c>
      <c r="CP50" s="65">
        <v>7843412.0399999982</v>
      </c>
      <c r="CQ50" s="50">
        <v>224097.48685714279</v>
      </c>
      <c r="CR50" s="61">
        <v>1.4090744393896696E-3</v>
      </c>
      <c r="CS50" s="61">
        <v>1.2597244505987697E-3</v>
      </c>
    </row>
    <row r="51" spans="50:97" x14ac:dyDescent="0.25">
      <c r="AX51" s="51" t="s">
        <v>19</v>
      </c>
      <c r="AY51" s="47" t="s" vm="5">
        <v>18</v>
      </c>
      <c r="AZ51" s="2"/>
      <c r="BB51" s="2"/>
      <c r="BC51" s="2"/>
      <c r="BL51" s="72" t="s">
        <v>396</v>
      </c>
      <c r="BM51" s="74">
        <v>42671</v>
      </c>
      <c r="BN51" s="65">
        <v>13059298996.619841</v>
      </c>
      <c r="BO51" s="50">
        <v>306046.23741229036</v>
      </c>
      <c r="BP51" s="61">
        <v>0.22389719964529889</v>
      </c>
      <c r="BQ51" s="61">
        <v>0.26357474449432289</v>
      </c>
      <c r="BZ51" s="51" t="s">
        <v>20</v>
      </c>
      <c r="CA51" s="47" t="s" vm="6">
        <v>500</v>
      </c>
      <c r="CG51" s="51" t="s">
        <v>19</v>
      </c>
      <c r="CH51" s="47" t="s" vm="3">
        <v>18</v>
      </c>
      <c r="CN51" s="60" t="s">
        <v>457</v>
      </c>
      <c r="CO51" s="74">
        <v>26</v>
      </c>
      <c r="CP51" s="65">
        <v>5776816.0899999999</v>
      </c>
      <c r="CQ51" s="50">
        <v>222185.23423076922</v>
      </c>
      <c r="CR51" s="61">
        <v>1.0467410121180402E-3</v>
      </c>
      <c r="CS51" s="61">
        <v>9.2781004466844055E-4</v>
      </c>
    </row>
    <row r="52" spans="50:97" x14ac:dyDescent="0.25">
      <c r="AX52" s="13"/>
      <c r="AY52" s="10"/>
      <c r="AZ52" s="11"/>
      <c r="BA52" s="12"/>
      <c r="BB52" s="11"/>
      <c r="BC52" s="11"/>
      <c r="BL52" s="72" t="s">
        <v>397</v>
      </c>
      <c r="BM52" s="74">
        <v>1294</v>
      </c>
      <c r="BN52" s="65">
        <v>332512282.10999972</v>
      </c>
      <c r="BO52" s="50">
        <v>256964.66932766594</v>
      </c>
      <c r="BP52" s="61">
        <v>6.7896926798297853E-3</v>
      </c>
      <c r="BQ52" s="61">
        <v>6.7110677089981521E-3</v>
      </c>
      <c r="BZ52" s="51" t="s">
        <v>19</v>
      </c>
      <c r="CA52" s="47" t="s" vm="3">
        <v>18</v>
      </c>
      <c r="CG52" s="51" t="s">
        <v>44</v>
      </c>
      <c r="CH52" s="47" t="s" vm="1">
        <v>9</v>
      </c>
      <c r="CN52" s="60" t="s">
        <v>458</v>
      </c>
      <c r="CO52" s="74">
        <v>18</v>
      </c>
      <c r="CP52" s="65">
        <v>3972350.89</v>
      </c>
      <c r="CQ52" s="50">
        <v>220686.16055555557</v>
      </c>
      <c r="CR52" s="61">
        <v>7.2466685454325853E-4</v>
      </c>
      <c r="CS52" s="61">
        <v>6.379962594048272E-4</v>
      </c>
    </row>
    <row r="53" spans="50:97" x14ac:dyDescent="0.25">
      <c r="AX53" s="49" t="s">
        <v>42</v>
      </c>
      <c r="AY53" s="60" t="s">
        <v>116</v>
      </c>
      <c r="AZ53" s="60" t="s">
        <v>117</v>
      </c>
      <c r="BA53" s="60" t="s">
        <v>118</v>
      </c>
      <c r="BB53" s="60" t="s">
        <v>119</v>
      </c>
      <c r="BC53" s="60" t="s">
        <v>120</v>
      </c>
      <c r="BL53" s="72" t="s">
        <v>398</v>
      </c>
      <c r="BM53" s="74">
        <v>25</v>
      </c>
      <c r="BN53" s="65">
        <v>5341965.21</v>
      </c>
      <c r="BO53" s="50">
        <v>213678.6084</v>
      </c>
      <c r="BP53" s="61">
        <v>1.3117644280969448E-4</v>
      </c>
      <c r="BQ53" s="61">
        <v>1.0781643912799213E-4</v>
      </c>
      <c r="CN53" s="60" t="s">
        <v>459</v>
      </c>
      <c r="CO53" s="74">
        <v>20</v>
      </c>
      <c r="CP53" s="65">
        <v>4854688.8000000007</v>
      </c>
      <c r="CQ53" s="50">
        <v>242734.44000000003</v>
      </c>
      <c r="CR53" s="61">
        <v>8.0518539393695395E-4</v>
      </c>
      <c r="CS53" s="61">
        <v>7.7970788098593918E-4</v>
      </c>
    </row>
    <row r="54" spans="50:97" x14ac:dyDescent="0.25">
      <c r="AX54" s="60" t="s">
        <v>346</v>
      </c>
      <c r="AY54" s="66">
        <v>1065</v>
      </c>
      <c r="AZ54" s="65">
        <v>206350569.50000012</v>
      </c>
      <c r="BA54" s="50">
        <v>193756.40328638509</v>
      </c>
      <c r="BB54" s="61">
        <v>5.5881164636929839E-3</v>
      </c>
      <c r="BC54" s="61">
        <v>4.16475636604219E-3</v>
      </c>
      <c r="BL54" s="72" t="s">
        <v>399</v>
      </c>
      <c r="BM54" s="74">
        <v>427</v>
      </c>
      <c r="BN54" s="65">
        <v>95599749.080000043</v>
      </c>
      <c r="BO54" s="50">
        <v>223887.00018735373</v>
      </c>
      <c r="BP54" s="61">
        <v>2.2404936431895815E-3</v>
      </c>
      <c r="BQ54" s="61">
        <v>1.9294817772381463E-3</v>
      </c>
      <c r="BZ54" s="80" t="s">
        <v>519</v>
      </c>
      <c r="CA54" s="60" t="s">
        <v>116</v>
      </c>
      <c r="CB54" s="65" t="s">
        <v>117</v>
      </c>
      <c r="CC54" s="65" t="s">
        <v>118</v>
      </c>
      <c r="CD54" s="60" t="s">
        <v>119</v>
      </c>
      <c r="CE54" s="60" t="s">
        <v>120</v>
      </c>
      <c r="CG54" s="80" t="s">
        <v>521</v>
      </c>
      <c r="CH54" s="60" t="s">
        <v>215</v>
      </c>
      <c r="CI54" s="65" t="s">
        <v>117</v>
      </c>
      <c r="CJ54" s="65" t="s">
        <v>118</v>
      </c>
      <c r="CK54" s="60" t="s">
        <v>119</v>
      </c>
      <c r="CL54" s="60" t="s">
        <v>120</v>
      </c>
      <c r="CN54" s="60" t="s">
        <v>460</v>
      </c>
      <c r="CO54" s="74">
        <v>17</v>
      </c>
      <c r="CP54" s="65">
        <v>2819649.4100000006</v>
      </c>
      <c r="CQ54" s="50">
        <v>165861.73000000004</v>
      </c>
      <c r="CR54" s="61">
        <v>6.8440758484641093E-4</v>
      </c>
      <c r="CS54" s="61">
        <v>4.5286175018970396E-4</v>
      </c>
    </row>
    <row r="55" spans="50:97" x14ac:dyDescent="0.25">
      <c r="AX55" s="60" t="s">
        <v>347</v>
      </c>
      <c r="AY55" s="66">
        <v>133806</v>
      </c>
      <c r="AZ55" s="65">
        <v>32910721794.03973</v>
      </c>
      <c r="BA55" s="50">
        <v>245958.49060609937</v>
      </c>
      <c r="BB55" s="61">
        <v>0.70208780426375905</v>
      </c>
      <c r="BC55" s="61">
        <v>0.66423435823263055</v>
      </c>
      <c r="BL55" s="72" t="s">
        <v>400</v>
      </c>
      <c r="BM55" s="74">
        <v>22994</v>
      </c>
      <c r="BN55" s="65">
        <v>5605668245.3799782</v>
      </c>
      <c r="BO55" s="50">
        <v>243788.30326954764</v>
      </c>
      <c r="BP55" s="61">
        <v>0.12065084503864458</v>
      </c>
      <c r="BQ55" s="61">
        <v>0.11313873553843846</v>
      </c>
      <c r="BZ55" s="60" t="s">
        <v>502</v>
      </c>
      <c r="CA55" s="74">
        <v>41993</v>
      </c>
      <c r="CB55" s="65">
        <v>13290898377.259987</v>
      </c>
      <c r="CC55" s="65">
        <v>316502.71181530226</v>
      </c>
      <c r="CD55" s="79">
        <v>0.22033969451629998</v>
      </c>
      <c r="CE55" s="79">
        <v>0.26824909551370607</v>
      </c>
      <c r="CG55" s="60" t="s">
        <v>512</v>
      </c>
      <c r="CH55" s="62">
        <v>2145</v>
      </c>
      <c r="CI55" s="50">
        <v>508835631.62000072</v>
      </c>
      <c r="CJ55" s="50">
        <v>237219.40868065302</v>
      </c>
      <c r="CK55" s="61">
        <v>9.7927319211102995E-2</v>
      </c>
      <c r="CL55" s="61">
        <v>9.1062240722908291E-2</v>
      </c>
      <c r="CN55" s="60" t="s">
        <v>461</v>
      </c>
      <c r="CO55" s="74">
        <v>40</v>
      </c>
      <c r="CP55" s="65">
        <v>9124740.9099999983</v>
      </c>
      <c r="CQ55" s="50">
        <v>228118.52274999995</v>
      </c>
      <c r="CR55" s="61">
        <v>1.6103707878739079E-3</v>
      </c>
      <c r="CS55" s="61">
        <v>1.4655177072280736E-3</v>
      </c>
    </row>
    <row r="56" spans="50:97" x14ac:dyDescent="0.25">
      <c r="AX56" s="60" t="s">
        <v>348</v>
      </c>
      <c r="AY56" s="66">
        <v>2982</v>
      </c>
      <c r="AZ56" s="65">
        <v>855625821.39999902</v>
      </c>
      <c r="BA56" s="50">
        <v>286930.18826291047</v>
      </c>
      <c r="BB56" s="61">
        <v>1.5646726098340356E-2</v>
      </c>
      <c r="BC56" s="61">
        <v>1.7269024724575435E-2</v>
      </c>
      <c r="BL56" s="72" t="s">
        <v>401</v>
      </c>
      <c r="BM56" s="74">
        <v>25709</v>
      </c>
      <c r="BN56" s="65">
        <v>5768788472.0899515</v>
      </c>
      <c r="BO56" s="50">
        <v>224387.89809366182</v>
      </c>
      <c r="BP56" s="61">
        <v>0.1348966067277774</v>
      </c>
      <c r="BQ56" s="61">
        <v>0.11643097749476901</v>
      </c>
      <c r="BZ56" s="60" t="s">
        <v>503</v>
      </c>
      <c r="CA56" s="74">
        <v>3018</v>
      </c>
      <c r="CB56" s="65">
        <v>590089228.69000137</v>
      </c>
      <c r="CC56" s="65">
        <v>195523.26994367177</v>
      </c>
      <c r="CD56" s="79">
        <v>1.5835620175986314E-2</v>
      </c>
      <c r="CE56" s="79">
        <v>1.1909721779176383E-2</v>
      </c>
      <c r="CG56" s="60" t="s">
        <v>513</v>
      </c>
      <c r="CH56" s="62">
        <v>1863</v>
      </c>
      <c r="CI56" s="50">
        <v>449602133.7300005</v>
      </c>
      <c r="CJ56" s="50">
        <v>241332.3315781001</v>
      </c>
      <c r="CK56" s="61">
        <v>8.5052958363769179E-2</v>
      </c>
      <c r="CL56" s="61">
        <v>8.0461695657803103E-2</v>
      </c>
      <c r="CN56" s="60" t="s">
        <v>462</v>
      </c>
      <c r="CO56" s="74">
        <v>63</v>
      </c>
      <c r="CP56" s="65">
        <v>13568092.189999999</v>
      </c>
      <c r="CQ56" s="50">
        <v>215366.5426984127</v>
      </c>
      <c r="CR56" s="61">
        <v>2.5363339909014052E-3</v>
      </c>
      <c r="CS56" s="61">
        <v>2.1791609815415497E-3</v>
      </c>
    </row>
    <row r="57" spans="50:97" x14ac:dyDescent="0.25">
      <c r="AX57" s="60" t="s">
        <v>349</v>
      </c>
      <c r="AY57" s="66">
        <v>52730</v>
      </c>
      <c r="AZ57" s="65">
        <v>15574154347.059875</v>
      </c>
      <c r="BA57" s="50">
        <v>295356.61572273611</v>
      </c>
      <c r="BB57" s="61">
        <v>0.27667735317420755</v>
      </c>
      <c r="BC57" s="61">
        <v>0.31433186067674618</v>
      </c>
      <c r="BL57" s="72" t="s">
        <v>402</v>
      </c>
      <c r="BM57" s="74">
        <v>8102</v>
      </c>
      <c r="BN57" s="65">
        <v>1698787038.0400009</v>
      </c>
      <c r="BO57" s="50">
        <v>209675.02320908429</v>
      </c>
      <c r="BP57" s="61">
        <v>4.2511661585765782E-2</v>
      </c>
      <c r="BQ57" s="61">
        <v>3.4286477368927273E-2</v>
      </c>
      <c r="BZ57" s="60" t="s">
        <v>504</v>
      </c>
      <c r="CA57" s="74">
        <v>2993</v>
      </c>
      <c r="CB57" s="65">
        <v>438158775.34000015</v>
      </c>
      <c r="CC57" s="65">
        <v>146394.51230872041</v>
      </c>
      <c r="CD57" s="79">
        <v>1.5704443733176622E-2</v>
      </c>
      <c r="CE57" s="79">
        <v>8.8433220870490926E-3</v>
      </c>
      <c r="CG57" s="60" t="s">
        <v>514</v>
      </c>
      <c r="CH57" s="62">
        <v>3627</v>
      </c>
      <c r="CI57" s="50">
        <v>872340950.92999911</v>
      </c>
      <c r="CJ57" s="50">
        <v>240513.08269368601</v>
      </c>
      <c r="CK57" s="61">
        <v>0.16558619430241051</v>
      </c>
      <c r="CL57" s="61">
        <v>0.15611587854634015</v>
      </c>
      <c r="CN57" s="60" t="s">
        <v>463</v>
      </c>
      <c r="CO57" s="74">
        <v>48</v>
      </c>
      <c r="CP57" s="65">
        <v>10183835.719999999</v>
      </c>
      <c r="CQ57" s="50">
        <v>212163.24416666664</v>
      </c>
      <c r="CR57" s="61">
        <v>1.9324449454486896E-3</v>
      </c>
      <c r="CS57" s="61">
        <v>1.6356181202696483E-3</v>
      </c>
    </row>
    <row r="58" spans="50:97" x14ac:dyDescent="0.25">
      <c r="AX58" s="60" t="s">
        <v>122</v>
      </c>
      <c r="AY58" s="66">
        <v>190583</v>
      </c>
      <c r="AZ58" s="65">
        <v>49546852532.000175</v>
      </c>
      <c r="BA58" s="50">
        <v>259975.19470257146</v>
      </c>
      <c r="BB58" s="61">
        <v>1</v>
      </c>
      <c r="BC58" s="61">
        <v>1.0000000000000058</v>
      </c>
      <c r="BL58" s="72" t="s">
        <v>403</v>
      </c>
      <c r="BM58" s="74">
        <v>1697</v>
      </c>
      <c r="BN58" s="65">
        <v>291174875.3100003</v>
      </c>
      <c r="BO58" s="50">
        <v>171582.13041249281</v>
      </c>
      <c r="BP58" s="61">
        <v>8.9042569379220605E-3</v>
      </c>
      <c r="BQ58" s="61">
        <v>5.8767582687909992E-3</v>
      </c>
      <c r="BZ58" s="60" t="s">
        <v>505</v>
      </c>
      <c r="CA58" s="74">
        <v>11297</v>
      </c>
      <c r="CB58" s="65">
        <v>1918190288.710001</v>
      </c>
      <c r="CC58" s="65">
        <v>169796.43168186254</v>
      </c>
      <c r="CD58" s="79">
        <v>5.9276010976844734E-2</v>
      </c>
      <c r="CE58" s="79">
        <v>3.8714674912420116E-2</v>
      </c>
      <c r="CG58" s="60" t="s">
        <v>515</v>
      </c>
      <c r="CH58" s="62">
        <v>3392</v>
      </c>
      <c r="CI58" s="50">
        <v>884703606.7699995</v>
      </c>
      <c r="CJ58" s="50">
        <v>260820.63878832533</v>
      </c>
      <c r="CK58" s="61">
        <v>0.15485756026296568</v>
      </c>
      <c r="CL58" s="61">
        <v>0.15832832412231607</v>
      </c>
      <c r="CN58" s="60" t="s">
        <v>464</v>
      </c>
      <c r="CO58" s="74">
        <v>44</v>
      </c>
      <c r="CP58" s="65">
        <v>9972995.4799999986</v>
      </c>
      <c r="CQ58" s="50">
        <v>226658.98818181816</v>
      </c>
      <c r="CR58" s="61">
        <v>1.7714078666612987E-3</v>
      </c>
      <c r="CS58" s="61">
        <v>1.6017552294584046E-3</v>
      </c>
    </row>
    <row r="59" spans="50:97" x14ac:dyDescent="0.25">
      <c r="BL59" s="72" t="s">
        <v>404</v>
      </c>
      <c r="BM59" s="74">
        <v>1145</v>
      </c>
      <c r="BN59" s="65">
        <v>205621842.25000006</v>
      </c>
      <c r="BO59" s="50">
        <v>179582.394978166</v>
      </c>
      <c r="BP59" s="61">
        <v>6.0078810806840069E-3</v>
      </c>
      <c r="BQ59" s="61">
        <v>4.1500485246201615E-3</v>
      </c>
      <c r="BZ59" s="60" t="s">
        <v>506</v>
      </c>
      <c r="CA59" s="74">
        <v>45251</v>
      </c>
      <c r="CB59" s="65">
        <v>9790173563.7999802</v>
      </c>
      <c r="CC59" s="65">
        <v>216352.64555037415</v>
      </c>
      <c r="CD59" s="79">
        <v>0.23743460854325937</v>
      </c>
      <c r="CE59" s="79">
        <v>0.19759425803035532</v>
      </c>
      <c r="CG59" s="60" t="s">
        <v>516</v>
      </c>
      <c r="CH59" s="62">
        <v>3067</v>
      </c>
      <c r="CI59" s="50">
        <v>819812103.19000041</v>
      </c>
      <c r="CJ59" s="50">
        <v>267300.97919465287</v>
      </c>
      <c r="CK59" s="61">
        <v>0.14002008765522278</v>
      </c>
      <c r="CL59" s="61">
        <v>0.14671521106052027</v>
      </c>
      <c r="CN59" s="60" t="s">
        <v>465</v>
      </c>
      <c r="CO59" s="74">
        <v>54</v>
      </c>
      <c r="CP59" s="65">
        <v>8843644.2100000009</v>
      </c>
      <c r="CQ59" s="50">
        <v>163771.18907407409</v>
      </c>
      <c r="CR59" s="61">
        <v>2.1740005636297758E-3</v>
      </c>
      <c r="CS59" s="61">
        <v>1.4203709797366763E-3</v>
      </c>
    </row>
    <row r="60" spans="50:97" x14ac:dyDescent="0.25">
      <c r="AX60" s="2"/>
      <c r="AY60" s="2"/>
      <c r="AZ60" s="2"/>
      <c r="BA60" s="12"/>
      <c r="BB60" s="11"/>
      <c r="BC60" s="11"/>
      <c r="BL60" s="72" t="s">
        <v>405</v>
      </c>
      <c r="BM60" s="74">
        <v>1078</v>
      </c>
      <c r="BN60" s="65">
        <v>170556216.03000006</v>
      </c>
      <c r="BO60" s="50">
        <v>158215.41375695739</v>
      </c>
      <c r="BP60" s="61">
        <v>5.656328213954025E-3</v>
      </c>
      <c r="BQ60" s="61">
        <v>3.4423219097488617E-3</v>
      </c>
      <c r="BZ60" s="60" t="s">
        <v>507</v>
      </c>
      <c r="CA60" s="74">
        <v>14564</v>
      </c>
      <c r="CB60" s="65">
        <v>3377923114.5699897</v>
      </c>
      <c r="CC60" s="65">
        <v>231936.4950954401</v>
      </c>
      <c r="CD60" s="79">
        <v>7.6418148523215601E-2</v>
      </c>
      <c r="CE60" s="79">
        <v>6.8176341017592276E-2</v>
      </c>
      <c r="CG60" s="60" t="s">
        <v>184</v>
      </c>
      <c r="CH60" s="62">
        <v>6995</v>
      </c>
      <c r="CI60" s="50">
        <v>1887833131.4800043</v>
      </c>
      <c r="CJ60" s="50">
        <v>269883.2210836318</v>
      </c>
      <c r="CK60" s="61">
        <v>0.31934806428049672</v>
      </c>
      <c r="CL60" s="61">
        <v>0.33785038700256909</v>
      </c>
      <c r="CN60" s="60" t="s">
        <v>466</v>
      </c>
      <c r="CO60" s="74">
        <v>39</v>
      </c>
      <c r="CP60" s="65">
        <v>6879866.7699999996</v>
      </c>
      <c r="CQ60" s="50">
        <v>176406.84025641024</v>
      </c>
      <c r="CR60" s="61">
        <v>1.5701115181770602E-3</v>
      </c>
      <c r="CS60" s="61">
        <v>1.1049701766058159E-3</v>
      </c>
    </row>
    <row r="61" spans="50:97" x14ac:dyDescent="0.25">
      <c r="AX61" s="6"/>
      <c r="AY61" s="6"/>
      <c r="AZ61" s="6"/>
      <c r="BA61" s="50"/>
      <c r="BB61" s="6"/>
      <c r="BC61" s="6"/>
      <c r="BL61" s="72" t="s">
        <v>178</v>
      </c>
      <c r="BM61" s="74">
        <v>2</v>
      </c>
      <c r="BN61" s="65">
        <v>347378.45999999996</v>
      </c>
      <c r="BO61" s="50">
        <v>173689.22999999998</v>
      </c>
      <c r="BP61" s="61">
        <v>1.0494115424775557E-5</v>
      </c>
      <c r="BQ61" s="61">
        <v>7.0111105397793574E-6</v>
      </c>
      <c r="BZ61" s="60" t="s">
        <v>508</v>
      </c>
      <c r="CA61" s="74">
        <v>15935</v>
      </c>
      <c r="CB61" s="65">
        <v>3846079837.2599902</v>
      </c>
      <c r="CC61" s="65">
        <v>241360.51692877253</v>
      </c>
      <c r="CD61" s="79">
        <v>8.361186464689925E-2</v>
      </c>
      <c r="CE61" s="79">
        <v>7.7625109178751234E-2</v>
      </c>
      <c r="CG61" s="60" t="s">
        <v>185</v>
      </c>
      <c r="CH61" s="62">
        <v>327</v>
      </c>
      <c r="CI61" s="50">
        <v>69806538.949999973</v>
      </c>
      <c r="CJ61" s="50">
        <v>213475.65428134549</v>
      </c>
      <c r="CK61" s="61">
        <v>1.4928780131482834E-2</v>
      </c>
      <c r="CL61" s="61">
        <v>1.2492717606390417E-2</v>
      </c>
      <c r="CN61" s="60" t="s">
        <v>467</v>
      </c>
      <c r="CO61" s="74">
        <v>29</v>
      </c>
      <c r="CP61" s="65">
        <v>6737274.2199999997</v>
      </c>
      <c r="CQ61" s="50">
        <v>232319.80068965515</v>
      </c>
      <c r="CR61" s="61">
        <v>1.1675188212085833E-3</v>
      </c>
      <c r="CS61" s="61">
        <v>1.0820684954507063E-3</v>
      </c>
    </row>
    <row r="62" spans="50:97" x14ac:dyDescent="0.25">
      <c r="AX62" s="6"/>
      <c r="AY62" s="6"/>
      <c r="AZ62" s="6"/>
      <c r="BA62" s="50"/>
      <c r="BB62" s="6"/>
      <c r="BC62" s="6"/>
      <c r="BL62" s="72" t="s">
        <v>406</v>
      </c>
      <c r="BM62" s="74">
        <v>39081</v>
      </c>
      <c r="BN62" s="65">
        <v>11184513062.029959</v>
      </c>
      <c r="BO62" s="50">
        <v>286187.99575317826</v>
      </c>
      <c r="BP62" s="61">
        <v>0.20506026245782677</v>
      </c>
      <c r="BQ62" s="61">
        <v>0.22573609604780373</v>
      </c>
      <c r="BZ62" s="60" t="s">
        <v>509</v>
      </c>
      <c r="CA62" s="74">
        <v>15403</v>
      </c>
      <c r="CB62" s="65">
        <v>3966127326.7800055</v>
      </c>
      <c r="CC62" s="65">
        <v>257490.57500357108</v>
      </c>
      <c r="CD62" s="79">
        <v>8.082042994390895E-2</v>
      </c>
      <c r="CE62" s="79">
        <v>8.0048017666076082E-2</v>
      </c>
      <c r="CG62" s="60" t="s">
        <v>186</v>
      </c>
      <c r="CH62" s="62">
        <v>488</v>
      </c>
      <c r="CI62" s="50">
        <v>94844411.530000016</v>
      </c>
      <c r="CJ62" s="50">
        <v>194353.30231557379</v>
      </c>
      <c r="CK62" s="61">
        <v>2.2279035792549307E-2</v>
      </c>
      <c r="CL62" s="61">
        <v>1.6973545281155498E-2</v>
      </c>
      <c r="CN62" s="60" t="s">
        <v>468</v>
      </c>
      <c r="CO62" s="74">
        <v>35</v>
      </c>
      <c r="CP62" s="65">
        <v>5900977.6600000001</v>
      </c>
      <c r="CQ62" s="50">
        <v>168599.36171428571</v>
      </c>
      <c r="CR62" s="61">
        <v>1.4090744393896696E-3</v>
      </c>
      <c r="CS62" s="61">
        <v>9.4775154012425374E-4</v>
      </c>
    </row>
    <row r="63" spans="50:97" x14ac:dyDescent="0.25">
      <c r="AX63" s="13" t="s">
        <v>39</v>
      </c>
      <c r="AY63" s="10"/>
      <c r="AZ63" s="11"/>
      <c r="BA63" s="12"/>
      <c r="BB63" s="11"/>
      <c r="BC63" s="11"/>
      <c r="BL63" s="72" t="s">
        <v>407</v>
      </c>
      <c r="BM63" s="74">
        <v>6106</v>
      </c>
      <c r="BN63" s="65">
        <v>1166241198.5800037</v>
      </c>
      <c r="BO63" s="50">
        <v>190999.21365542151</v>
      </c>
      <c r="BP63" s="61">
        <v>3.2038534391839776E-2</v>
      </c>
      <c r="BQ63" s="61">
        <v>2.3538149024234765E-2</v>
      </c>
      <c r="BZ63" s="60" t="s">
        <v>510</v>
      </c>
      <c r="CA63" s="74">
        <v>12675</v>
      </c>
      <c r="CB63" s="65">
        <v>3620748182.6099954</v>
      </c>
      <c r="CC63" s="65">
        <v>285660.60612307658</v>
      </c>
      <c r="CD63" s="79">
        <v>6.6506456504515088E-2</v>
      </c>
      <c r="CE63" s="79">
        <v>7.3077259151255278E-2</v>
      </c>
      <c r="CG63" s="60" t="s">
        <v>122</v>
      </c>
      <c r="CH63" s="62">
        <v>21904</v>
      </c>
      <c r="CI63" s="50">
        <v>5587778508.1999702</v>
      </c>
      <c r="CJ63" s="50">
        <v>255103.10939554282</v>
      </c>
      <c r="CK63" s="61">
        <v>1</v>
      </c>
      <c r="CL63" s="61">
        <v>0.99999999999999678</v>
      </c>
      <c r="CN63" s="60" t="s">
        <v>469</v>
      </c>
      <c r="CO63" s="74">
        <v>37</v>
      </c>
      <c r="CP63" s="65">
        <v>7107596.6900000004</v>
      </c>
      <c r="CQ63" s="50">
        <v>192097.20783783784</v>
      </c>
      <c r="CR63" s="61">
        <v>1.4895929787833648E-3</v>
      </c>
      <c r="CS63" s="61">
        <v>1.1415457060939879E-3</v>
      </c>
    </row>
    <row r="64" spans="50:97" x14ac:dyDescent="0.25">
      <c r="AX64" s="51" t="s">
        <v>43</v>
      </c>
      <c r="AY64" s="47" t="s" vm="4">
        <v>489</v>
      </c>
      <c r="AZ64" s="11"/>
      <c r="BA64" s="12"/>
      <c r="BB64" s="11"/>
      <c r="BC64" s="11"/>
      <c r="BL64" s="72" t="s">
        <v>408</v>
      </c>
      <c r="BM64" s="74">
        <v>3156</v>
      </c>
      <c r="BN64" s="65">
        <v>797889313.61999941</v>
      </c>
      <c r="BO64" s="50">
        <v>252816.63929657775</v>
      </c>
      <c r="BP64" s="61">
        <v>1.655971414029583E-2</v>
      </c>
      <c r="BQ64" s="61">
        <v>1.6103733594473577E-2</v>
      </c>
      <c r="BZ64" s="60" t="s">
        <v>511</v>
      </c>
      <c r="CA64" s="74">
        <v>27454</v>
      </c>
      <c r="CB64" s="65">
        <v>8708463836.9800701</v>
      </c>
      <c r="CC64" s="65">
        <v>317202.00469804293</v>
      </c>
      <c r="CD64" s="79">
        <v>0.14405272243589407</v>
      </c>
      <c r="CE64" s="79">
        <v>0.17576220066361781</v>
      </c>
      <c r="CJ64"/>
      <c r="CN64" s="60" t="s">
        <v>470</v>
      </c>
      <c r="CO64" s="74">
        <v>37</v>
      </c>
      <c r="CP64" s="65">
        <v>6210803.4699999997</v>
      </c>
      <c r="CQ64" s="50">
        <v>167859.55324324322</v>
      </c>
      <c r="CR64" s="61">
        <v>1.4895929787833648E-3</v>
      </c>
      <c r="CS64" s="61">
        <v>9.9751242815272062E-4</v>
      </c>
    </row>
    <row r="65" spans="50:97" x14ac:dyDescent="0.25">
      <c r="AX65" s="51" t="s">
        <v>29</v>
      </c>
      <c r="AY65" s="47" t="s" vm="2">
        <v>301</v>
      </c>
      <c r="AZ65" s="6"/>
      <c r="BA65" s="50"/>
      <c r="BB65" s="6"/>
      <c r="BC65" s="6"/>
      <c r="BL65" s="72" t="s">
        <v>409</v>
      </c>
      <c r="BM65" s="74">
        <v>18099</v>
      </c>
      <c r="BN65" s="65">
        <v>5023899384.2300224</v>
      </c>
      <c r="BO65" s="50">
        <v>277578.83773855033</v>
      </c>
      <c r="BP65" s="61">
        <v>9.4966497536506406E-2</v>
      </c>
      <c r="BQ65" s="61">
        <v>0.10139694304467277</v>
      </c>
      <c r="BZ65" s="60" t="s">
        <v>122</v>
      </c>
      <c r="CA65" s="74">
        <v>190583</v>
      </c>
      <c r="CB65" s="65">
        <v>49546852532.000053</v>
      </c>
      <c r="CC65" s="65">
        <v>259975.19470257082</v>
      </c>
      <c r="CD65" s="79">
        <v>1</v>
      </c>
      <c r="CE65" s="79">
        <v>1.0000000000000002</v>
      </c>
      <c r="CJ65"/>
      <c r="CN65" s="60" t="s">
        <v>471</v>
      </c>
      <c r="CO65" s="74">
        <v>63</v>
      </c>
      <c r="CP65" s="65">
        <v>12154041.019999998</v>
      </c>
      <c r="CQ65" s="50">
        <v>192921.28603174599</v>
      </c>
      <c r="CR65" s="61">
        <v>2.5363339909014052E-3</v>
      </c>
      <c r="CS65" s="61">
        <v>1.9520512971130878E-3</v>
      </c>
    </row>
    <row r="66" spans="50:97" x14ac:dyDescent="0.25">
      <c r="AX66" s="51" t="s">
        <v>20</v>
      </c>
      <c r="AY66" s="47" t="s" vm="6">
        <v>500</v>
      </c>
      <c r="AZ66" s="6"/>
      <c r="BA66" s="50"/>
      <c r="BB66" s="6"/>
      <c r="BC66" s="6"/>
      <c r="BL66" s="60" t="s">
        <v>122</v>
      </c>
      <c r="BM66" s="74">
        <v>190583</v>
      </c>
      <c r="BN66" s="65">
        <v>49546852532.000175</v>
      </c>
      <c r="BO66" s="50">
        <v>259975.19470257146</v>
      </c>
      <c r="BP66" s="61">
        <v>1</v>
      </c>
      <c r="BQ66" s="61">
        <v>1</v>
      </c>
      <c r="CJ66"/>
      <c r="CN66" s="60" t="s">
        <v>472</v>
      </c>
      <c r="CO66" s="74">
        <v>71</v>
      </c>
      <c r="CP66" s="65">
        <v>15274223.349999998</v>
      </c>
      <c r="CQ66" s="50">
        <v>215129.90633802814</v>
      </c>
      <c r="CR66" s="61">
        <v>2.8584081484761869E-3</v>
      </c>
      <c r="CS66" s="61">
        <v>2.4531814113263966E-3</v>
      </c>
    </row>
    <row r="67" spans="50:97" x14ac:dyDescent="0.25">
      <c r="AX67" s="51" t="s">
        <v>19</v>
      </c>
      <c r="AY67" s="47" t="s" vm="3">
        <v>18</v>
      </c>
      <c r="AZ67" s="6"/>
      <c r="BA67" s="50"/>
      <c r="BB67" s="6"/>
      <c r="BC67" s="6"/>
      <c r="CJ67"/>
      <c r="CN67" s="60" t="s">
        <v>473</v>
      </c>
      <c r="CO67" s="74">
        <v>43</v>
      </c>
      <c r="CP67" s="65">
        <v>7537554.96</v>
      </c>
      <c r="CQ67" s="50">
        <v>175291.9758139535</v>
      </c>
      <c r="CR67" s="61">
        <v>1.731148596964451E-3</v>
      </c>
      <c r="CS67" s="61">
        <v>1.2106009772813152E-3</v>
      </c>
    </row>
    <row r="68" spans="50:97" x14ac:dyDescent="0.25">
      <c r="AX68" s="6"/>
      <c r="AY68" s="6"/>
      <c r="AZ68" s="6"/>
      <c r="BA68" s="50"/>
      <c r="BB68" s="6"/>
      <c r="BC68" s="6"/>
      <c r="CN68" s="60" t="s">
        <v>474</v>
      </c>
      <c r="CO68" s="74">
        <v>39</v>
      </c>
      <c r="CP68" s="65">
        <v>9464297.1799999978</v>
      </c>
      <c r="CQ68" s="50">
        <v>242674.28666666662</v>
      </c>
      <c r="CR68" s="61">
        <v>1.5701115181770602E-3</v>
      </c>
      <c r="CS68" s="61">
        <v>1.5200535818565748E-3</v>
      </c>
    </row>
    <row r="69" spans="50:97" x14ac:dyDescent="0.25">
      <c r="AX69" s="47"/>
      <c r="AY69" s="55" t="s">
        <v>0</v>
      </c>
      <c r="AZ69" s="60"/>
      <c r="BA69" s="60"/>
      <c r="BB69" s="60"/>
      <c r="BC69" s="60"/>
      <c r="CN69" s="60" t="s">
        <v>475</v>
      </c>
      <c r="CO69" s="74">
        <v>58</v>
      </c>
      <c r="CP69" s="65">
        <v>10546628.889999995</v>
      </c>
      <c r="CQ69" s="50">
        <v>181838.42913793094</v>
      </c>
      <c r="CR69" s="61">
        <v>2.3350376424171666E-3</v>
      </c>
      <c r="CS69" s="61">
        <v>1.6938860557585036E-3</v>
      </c>
    </row>
    <row r="70" spans="50:97" x14ac:dyDescent="0.25">
      <c r="AX70" s="49" t="s">
        <v>38</v>
      </c>
      <c r="AY70" s="60" t="s">
        <v>215</v>
      </c>
      <c r="AZ70" s="60" t="s">
        <v>117</v>
      </c>
      <c r="BA70" s="60" t="s">
        <v>118</v>
      </c>
      <c r="BB70" s="60" t="s">
        <v>119</v>
      </c>
      <c r="BC70" s="60" t="s">
        <v>120</v>
      </c>
      <c r="CN70" s="60" t="s">
        <v>122</v>
      </c>
      <c r="CO70" s="74">
        <v>24839</v>
      </c>
      <c r="CP70" s="65">
        <v>6226291818.2400017</v>
      </c>
      <c r="CQ70" s="50">
        <v>250665.96152180046</v>
      </c>
      <c r="CR70" s="61">
        <v>1</v>
      </c>
      <c r="CS70" s="61">
        <v>1.0000000000000002</v>
      </c>
    </row>
    <row r="71" spans="50:97" x14ac:dyDescent="0.25">
      <c r="AX71" s="60" t="s">
        <v>216</v>
      </c>
      <c r="AY71" s="62">
        <v>162660</v>
      </c>
      <c r="AZ71" s="50">
        <v>43627972710.319824</v>
      </c>
      <c r="BA71" s="62">
        <v>268215.74271683156</v>
      </c>
      <c r="BB71" s="61">
        <v>0.85348640749699611</v>
      </c>
      <c r="BC71" s="61">
        <v>0.88053974129118739</v>
      </c>
    </row>
    <row r="72" spans="50:97" x14ac:dyDescent="0.25">
      <c r="AX72" s="60" t="s">
        <v>217</v>
      </c>
      <c r="AY72" s="62">
        <v>27923</v>
      </c>
      <c r="AZ72" s="50">
        <v>5918879821.6799631</v>
      </c>
      <c r="BA72" s="62">
        <v>211971.48664828145</v>
      </c>
      <c r="BB72" s="61">
        <v>0.14651359250300394</v>
      </c>
      <c r="BC72" s="61">
        <v>0.11946025870880989</v>
      </c>
    </row>
    <row r="73" spans="50:97" x14ac:dyDescent="0.25">
      <c r="AX73" s="60" t="s">
        <v>122</v>
      </c>
      <c r="AY73" s="62">
        <v>190583</v>
      </c>
      <c r="AZ73" s="50">
        <v>49546852532.000053</v>
      </c>
      <c r="BA73" s="62">
        <v>259975.19470257082</v>
      </c>
      <c r="BB73" s="61">
        <v>1</v>
      </c>
      <c r="BC73" s="61">
        <v>1.0000000000000027</v>
      </c>
    </row>
    <row r="74" spans="50:97" x14ac:dyDescent="0.25">
      <c r="AX74" s="6"/>
      <c r="AY74" s="6"/>
      <c r="AZ74" s="6"/>
      <c r="BA74" s="50"/>
      <c r="BB74" s="6"/>
      <c r="BC74" s="6"/>
    </row>
    <row r="75" spans="50:97" x14ac:dyDescent="0.25">
      <c r="AX75" s="6"/>
      <c r="AY75" s="6"/>
      <c r="AZ75" s="6"/>
      <c r="BA75" s="50"/>
      <c r="BB75" s="6"/>
      <c r="BC75" s="6"/>
    </row>
    <row r="76" spans="50:97" x14ac:dyDescent="0.25">
      <c r="AX76" s="6"/>
      <c r="AY76" s="6"/>
      <c r="AZ76" s="6"/>
      <c r="BA76" s="50"/>
      <c r="BB76" s="6"/>
      <c r="BC76" s="6"/>
    </row>
    <row r="77" spans="50:97" x14ac:dyDescent="0.25">
      <c r="AX77" s="13" t="s">
        <v>6</v>
      </c>
      <c r="AY77" s="10"/>
      <c r="AZ77" s="11"/>
      <c r="BA77" s="12"/>
      <c r="BB77" s="11"/>
      <c r="BC77" s="11"/>
    </row>
    <row r="78" spans="50:97" x14ac:dyDescent="0.25">
      <c r="AX78" s="51" t="s">
        <v>43</v>
      </c>
      <c r="AY78" s="47" t="s" vm="4">
        <v>489</v>
      </c>
      <c r="AZ78" s="11"/>
      <c r="BA78" s="12"/>
      <c r="BB78" s="11"/>
      <c r="BC78" s="11"/>
    </row>
    <row r="79" spans="50:97" x14ac:dyDescent="0.25">
      <c r="AX79" s="51" t="s">
        <v>29</v>
      </c>
      <c r="AY79" s="53" t="s" vm="2">
        <v>301</v>
      </c>
      <c r="AZ79" s="6"/>
      <c r="BA79" s="50"/>
      <c r="BB79" s="6"/>
      <c r="BC79" s="6"/>
    </row>
    <row r="80" spans="50:97" x14ac:dyDescent="0.25">
      <c r="AX80" s="51" t="s">
        <v>20</v>
      </c>
      <c r="AY80" s="53" t="s" vm="6">
        <v>500</v>
      </c>
      <c r="AZ80" s="6"/>
      <c r="BA80" s="50"/>
      <c r="BB80" s="6"/>
      <c r="BC80" s="6"/>
    </row>
    <row r="81" spans="50:55" x14ac:dyDescent="0.25">
      <c r="AX81" s="51" t="s">
        <v>19</v>
      </c>
      <c r="AY81" s="47" t="s" vm="3">
        <v>18</v>
      </c>
      <c r="AZ81" s="6"/>
      <c r="BA81" s="50"/>
      <c r="BB81" s="6"/>
      <c r="BC81" s="6"/>
    </row>
    <row r="82" spans="50:55" x14ac:dyDescent="0.25">
      <c r="AX82" s="6"/>
      <c r="AY82" s="6"/>
      <c r="AZ82" s="6"/>
      <c r="BA82" s="50"/>
      <c r="BB82" s="6"/>
      <c r="BC82" s="6"/>
    </row>
    <row r="83" spans="50:55" x14ac:dyDescent="0.25">
      <c r="AX83" s="47"/>
      <c r="AY83" s="56" t="s">
        <v>0</v>
      </c>
      <c r="AZ83" s="65"/>
      <c r="BA83" s="65"/>
      <c r="BB83" s="65"/>
      <c r="BC83" s="65"/>
    </row>
    <row r="84" spans="50:55" x14ac:dyDescent="0.25">
      <c r="AX84" s="49" t="s">
        <v>37</v>
      </c>
      <c r="AY84" s="66" t="s">
        <v>116</v>
      </c>
      <c r="AZ84" s="60" t="s">
        <v>117</v>
      </c>
      <c r="BA84" s="65" t="s">
        <v>118</v>
      </c>
      <c r="BB84" s="60" t="s">
        <v>119</v>
      </c>
      <c r="BC84" s="60" t="s">
        <v>120</v>
      </c>
    </row>
    <row r="85" spans="50:55" x14ac:dyDescent="0.25">
      <c r="AX85" s="60" t="s">
        <v>350</v>
      </c>
      <c r="AY85" s="74">
        <v>4766</v>
      </c>
      <c r="AZ85" s="65">
        <v>1309096404.2199996</v>
      </c>
      <c r="BA85" s="50">
        <v>274674.02522450686</v>
      </c>
      <c r="BB85" s="61">
        <v>2.5007477057240154E-2</v>
      </c>
      <c r="BC85" s="61">
        <v>2.6421383747323064E-2</v>
      </c>
    </row>
    <row r="86" spans="50:55" x14ac:dyDescent="0.25">
      <c r="AX86" s="60" t="s">
        <v>351</v>
      </c>
      <c r="AY86" s="74">
        <v>258</v>
      </c>
      <c r="AZ86" s="65">
        <v>30185314.24000001</v>
      </c>
      <c r="BA86" s="50">
        <v>116997.34201550391</v>
      </c>
      <c r="BB86" s="61">
        <v>1.3537408897960469E-3</v>
      </c>
      <c r="BC86" s="61">
        <v>6.0922768445290586E-4</v>
      </c>
    </row>
    <row r="87" spans="50:55" x14ac:dyDescent="0.25">
      <c r="AX87" s="60" t="s">
        <v>352</v>
      </c>
      <c r="AY87" s="74">
        <v>2173</v>
      </c>
      <c r="AZ87" s="65">
        <v>385847741.70000052</v>
      </c>
      <c r="BA87" s="50">
        <v>177564.53828808124</v>
      </c>
      <c r="BB87" s="61">
        <v>1.1401856409018642E-2</v>
      </c>
      <c r="BC87" s="61">
        <v>7.7875328498575929E-3</v>
      </c>
    </row>
    <row r="88" spans="50:55" x14ac:dyDescent="0.25">
      <c r="AX88" s="60" t="s">
        <v>353</v>
      </c>
      <c r="AY88" s="74">
        <v>88</v>
      </c>
      <c r="AZ88" s="65">
        <v>8621705.4399999976</v>
      </c>
      <c r="BA88" s="50">
        <v>97973.925454545431</v>
      </c>
      <c r="BB88" s="61">
        <v>4.6174107869012451E-4</v>
      </c>
      <c r="BC88" s="61">
        <v>1.7401116315979154E-4</v>
      </c>
    </row>
    <row r="89" spans="50:55" x14ac:dyDescent="0.25">
      <c r="AX89" s="60" t="s">
        <v>218</v>
      </c>
      <c r="AY89" s="74">
        <v>159148</v>
      </c>
      <c r="AZ89" s="65">
        <v>41690563465.840141</v>
      </c>
      <c r="BA89" s="50">
        <v>261960.96379370234</v>
      </c>
      <c r="BB89" s="61">
        <v>0.83505874081109022</v>
      </c>
      <c r="BC89" s="61">
        <v>0.84143717179439559</v>
      </c>
    </row>
    <row r="90" spans="50:55" x14ac:dyDescent="0.25">
      <c r="AX90" s="60" t="s">
        <v>219</v>
      </c>
      <c r="AY90" s="74">
        <v>4</v>
      </c>
      <c r="AZ90" s="65">
        <v>215990.41</v>
      </c>
      <c r="BA90" s="50">
        <v>53997.602500000001</v>
      </c>
      <c r="BB90" s="61">
        <v>2.0988230849551114E-5</v>
      </c>
      <c r="BC90" s="61">
        <v>4.3593164643607085E-6</v>
      </c>
    </row>
    <row r="91" spans="50:55" x14ac:dyDescent="0.25">
      <c r="AX91" s="60" t="s">
        <v>354</v>
      </c>
      <c r="AY91" s="74">
        <v>15</v>
      </c>
      <c r="AZ91" s="65">
        <v>1726257.59</v>
      </c>
      <c r="BA91" s="50">
        <v>115083.83933333334</v>
      </c>
      <c r="BB91" s="61">
        <v>7.8705865685816677E-5</v>
      </c>
      <c r="BC91" s="61">
        <v>3.4840913232280255E-5</v>
      </c>
    </row>
    <row r="92" spans="50:55" x14ac:dyDescent="0.25">
      <c r="AX92" s="60" t="s">
        <v>355</v>
      </c>
      <c r="AY92" s="74">
        <v>24131</v>
      </c>
      <c r="AZ92" s="65">
        <v>6120595652.5599861</v>
      </c>
      <c r="BA92" s="50">
        <v>253640.36519663446</v>
      </c>
      <c r="BB92" s="61">
        <v>0.12661674965762948</v>
      </c>
      <c r="BC92" s="61">
        <v>0.12353147253111524</v>
      </c>
    </row>
    <row r="93" spans="50:55" x14ac:dyDescent="0.25">
      <c r="AX93" s="60" t="s">
        <v>122</v>
      </c>
      <c r="AY93" s="74">
        <v>190583</v>
      </c>
      <c r="AZ93" s="65">
        <v>49546852532.000053</v>
      </c>
      <c r="BA93" s="50">
        <v>259975.19470257082</v>
      </c>
      <c r="BB93" s="61">
        <v>1</v>
      </c>
      <c r="BC93" s="61">
        <v>0.99999999999999933</v>
      </c>
    </row>
  </sheetData>
  <pageMargins left="0.7" right="0.7" top="0.75" bottom="0.75" header="0.3" footer="0.3"/>
  <pageSetup paperSize="9" orientation="portrait" r:id="rId2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24"/>
  <sheetViews>
    <sheetView workbookViewId="0">
      <selection activeCell="C30" sqref="C30"/>
    </sheetView>
  </sheetViews>
  <sheetFormatPr defaultRowHeight="12.75" x14ac:dyDescent="0.2"/>
  <cols>
    <col min="1" max="1" width="43.140625" style="6" customWidth="1"/>
    <col min="2" max="2" width="44.28515625" style="6" customWidth="1"/>
    <col min="3" max="3" width="33.85546875" style="6" customWidth="1"/>
    <col min="4" max="4" width="11.28515625" style="6" hidden="1" customWidth="1"/>
    <col min="5" max="5" width="22.7109375" style="6" customWidth="1"/>
    <col min="6" max="16384" width="9.140625" style="6"/>
  </cols>
  <sheetData>
    <row r="1" spans="1:4" ht="15" x14ac:dyDescent="0.25">
      <c r="A1" s="49" t="s">
        <v>22</v>
      </c>
      <c r="B1" s="47"/>
      <c r="C1" s="49" t="s">
        <v>19</v>
      </c>
      <c r="D1"/>
    </row>
    <row r="2" spans="1:4" ht="15" x14ac:dyDescent="0.25">
      <c r="A2" s="49" t="s">
        <v>20</v>
      </c>
      <c r="B2" s="49" t="s">
        <v>21</v>
      </c>
      <c r="C2" s="47" t="s">
        <v>18</v>
      </c>
      <c r="D2"/>
    </row>
    <row r="3" spans="1:4" ht="15" x14ac:dyDescent="0.25">
      <c r="A3" s="60" t="s">
        <v>524</v>
      </c>
      <c r="B3" s="60" t="s">
        <v>488</v>
      </c>
      <c r="C3" s="62">
        <v>1</v>
      </c>
      <c r="D3"/>
    </row>
    <row r="4" spans="1:4" ht="15" x14ac:dyDescent="0.25">
      <c r="A4" s="60"/>
      <c r="B4" s="60" t="s">
        <v>224</v>
      </c>
      <c r="C4" s="62">
        <v>1</v>
      </c>
      <c r="D4"/>
    </row>
    <row r="5" spans="1:4" ht="15" x14ac:dyDescent="0.25">
      <c r="A5" s="60"/>
      <c r="B5" s="60" t="s">
        <v>225</v>
      </c>
      <c r="C5" s="62">
        <v>1</v>
      </c>
      <c r="D5"/>
    </row>
    <row r="6" spans="1:4" ht="15" x14ac:dyDescent="0.25">
      <c r="A6" s="60"/>
      <c r="B6" s="60" t="s">
        <v>307</v>
      </c>
      <c r="C6" s="62">
        <v>1</v>
      </c>
      <c r="D6"/>
    </row>
    <row r="7" spans="1:4" ht="15" x14ac:dyDescent="0.25">
      <c r="A7" s="60"/>
      <c r="B7" s="60" t="s">
        <v>492</v>
      </c>
      <c r="C7" s="62">
        <v>1</v>
      </c>
      <c r="D7"/>
    </row>
    <row r="8" spans="1:4" ht="15" x14ac:dyDescent="0.25">
      <c r="A8" s="60"/>
      <c r="B8" s="60" t="s">
        <v>226</v>
      </c>
      <c r="C8" s="62">
        <v>1</v>
      </c>
      <c r="D8"/>
    </row>
    <row r="9" spans="1:4" ht="15" x14ac:dyDescent="0.25">
      <c r="A9" s="60"/>
      <c r="B9" s="60" t="s">
        <v>227</v>
      </c>
      <c r="C9" s="62">
        <v>1</v>
      </c>
      <c r="D9"/>
    </row>
    <row r="10" spans="1:4" ht="15" x14ac:dyDescent="0.25">
      <c r="A10" s="60"/>
      <c r="B10" s="60" t="s">
        <v>228</v>
      </c>
      <c r="C10" s="62">
        <v>1</v>
      </c>
      <c r="D10"/>
    </row>
    <row r="11" spans="1:4" ht="15" x14ac:dyDescent="0.25">
      <c r="A11" s="60"/>
      <c r="B11" s="60" t="s">
        <v>525</v>
      </c>
      <c r="C11" s="62">
        <v>1</v>
      </c>
      <c r="D11"/>
    </row>
    <row r="12" spans="1:4" ht="15" x14ac:dyDescent="0.25">
      <c r="A12" s="60"/>
      <c r="B12" s="60" t="s">
        <v>229</v>
      </c>
      <c r="C12" s="62">
        <v>1</v>
      </c>
      <c r="D12"/>
    </row>
    <row r="13" spans="1:4" ht="15" x14ac:dyDescent="0.25">
      <c r="A13" s="60"/>
      <c r="B13" s="60" t="s">
        <v>481</v>
      </c>
      <c r="C13" s="62">
        <v>1</v>
      </c>
      <c r="D13"/>
    </row>
    <row r="14" spans="1:4" x14ac:dyDescent="0.2">
      <c r="A14" s="60"/>
      <c r="B14" s="60" t="s">
        <v>482</v>
      </c>
      <c r="C14" s="62">
        <v>1</v>
      </c>
    </row>
    <row r="15" spans="1:4" x14ac:dyDescent="0.2">
      <c r="A15" s="60" t="s">
        <v>122</v>
      </c>
      <c r="B15" s="60"/>
      <c r="C15" s="62">
        <v>12</v>
      </c>
    </row>
    <row r="16" spans="1:4" x14ac:dyDescent="0.2">
      <c r="A16"/>
      <c r="B16"/>
      <c r="C16"/>
    </row>
    <row r="17" spans="1:3" x14ac:dyDescent="0.2">
      <c r="A17"/>
      <c r="B17"/>
      <c r="C17"/>
    </row>
    <row r="18" spans="1:3" x14ac:dyDescent="0.2">
      <c r="A18"/>
      <c r="B18"/>
      <c r="C18"/>
    </row>
    <row r="19" spans="1:3" x14ac:dyDescent="0.2">
      <c r="A19"/>
      <c r="B19"/>
      <c r="C19"/>
    </row>
    <row r="20" spans="1:3" x14ac:dyDescent="0.2">
      <c r="A20"/>
      <c r="B20"/>
      <c r="C20"/>
    </row>
    <row r="21" spans="1:3" x14ac:dyDescent="0.2">
      <c r="A21"/>
      <c r="B21"/>
      <c r="C21"/>
    </row>
    <row r="22" spans="1:3" x14ac:dyDescent="0.2">
      <c r="A22"/>
      <c r="B22"/>
      <c r="C22"/>
    </row>
    <row r="23" spans="1:3" x14ac:dyDescent="0.2">
      <c r="A23"/>
      <c r="B23"/>
      <c r="C23"/>
    </row>
    <row r="24" spans="1:3" x14ac:dyDescent="0.2">
      <c r="A24"/>
      <c r="B24"/>
      <c r="C24"/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 onLoad="RibbonOnLoad">
  <!-- Add GetVisible to the Home and Review-->
  <!-- And to the Tables group on the Insert tab -->
  <ribbon>
    <tabs>
      <!--<tab idMso="TabHome" getVisible="GetVisible"  />-->
      <!--<tab idMso="TabReview" getVisible="GetVisible" />-->
      <!--<tab idMso="TabData" getVisible="GetVisible" />-->
      <tab idMso="TabDeveloper" getVisible="GetVisible"/>
      <tab idMso="TabData">
        <group idMso="GroupConnections" getVisible="GetVisible"/>
      </tab>
    </tabs>
  </ribbon>
</customUI>
</file>

<file path=customUI/customUI14.xml><?xml version="1.0" encoding="utf-8"?>
<customUI xmlns="http://schemas.microsoft.com/office/2009/07/customui" onLoad="RibbonOnLoad">
  <!-- Add GetVisible to the Home and Review-->
  <!-- And to the Tables group on the Insert tab -->
  <ribbon>
    <tabs>
      <!--<tab idMso="TabHome" getVisible="GetVisible"  />-->
      <!--<tab idMso="TabReview" getVisible="GetVisible" />-->
      <!--<tab idMso="TabData" getVisible="GetVisible" />-->
      <tab idMso="TabDeveloper" getVisible="GetVisible"/>
      <tab idMso="TabData">
        <group idMso="GroupConnections" getVisible="GetVisible"/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oolGroupParent xmlns="e5ae8fa2-e1da-4084-a207-18da950d5bd0" xsi:nil="true"/>
    <UpdateLoanBalanceOfDate xmlns="e5ae8fa2-e1da-4084-a207-18da950d5bd0" xsi:nil="true"/>
    <PoolCutPageURL xmlns="e5ae8fa2-e1da-4084-a207-18da950d5bd0">
      <Url>https://poolcutsp/Pages/PoolProcess.aspx?poolId=1045</Url>
      <Description>PoolCut</Description>
    </PoolCutPageURL>
    <PoolSource xmlns="e5ae8fa2-e1da-4084-a207-18da950d5bd0">0</PoolSource>
    <PoolUpdateType xmlns="e5ae8fa2-e1da-4084-a207-18da950d5bd0">PoolBase</PoolUpdateType>
    <PoolDescription xmlns="e5ae8fa2-e1da-4084-a207-18da950d5bd0">test au</PoolDescription>
    <PoolIdentification xmlns="e5ae8fa2-e1da-4084-a207-18da950d5bd0" xsi:nil="true"/>
    <PoolName xmlns="e5ae8fa2-e1da-4084-a207-18da950d5bd0">PoolBase_2_20120731_1045</PoolName>
    <PoolUpdateBy xmlns="e5ae8fa2-e1da-4084-a207-18da950d5bd0">TSYDEV\tfs_l049686</PoolUpdateBy>
    <BasePoolAsOfDate xmlns="e5ae8fa2-e1da-4084-a207-18da950d5bd0">2012-07-31</BasePoolAsOfDate>
    <PoolID xmlns="e5ae8fa2-e1da-4084-a207-18da950d5bd0">1045</PoolID>
    <PoolLoanType xmlns="e5ae8fa2-e1da-4084-a207-18da950d5bd0">OnlyUnsold</PoolLoanType>
    <OverlapPool xmlns="e5ae8fa2-e1da-4084-a207-18da950d5bd0">true</OverlapPool>
    <PoolLoanValue xmlns="e5ae8fa2-e1da-4084-a207-18da950d5bd0">$46,315,942,181.61</PoolLoanValue>
    <RefreshAsOfDate xmlns="e5ae8fa2-e1da-4084-a207-18da950d5bd0" xsi:nil="true"/>
    <PoolGroup xmlns="e5ae8fa2-e1da-4084-a207-18da950d5bd0">Job_2_20120731_1045</PoolGroup>
    <PoolReport xmlns="e5ae8fa2-e1da-4084-a207-18da950d5bd0">
      <Url>https://poolcutsp/Lists/PoolCutCenter/Job_2_20120731_1045/PoolBase_2_20120731_1045.xlsm</Url>
      <Description>Report</Description>
    </PoolReport>
    <PoolHierarchyName xmlns="e5ae8fa2-e1da-4084-a207-18da950d5bd0">PoolBase_2_20120731_1045</PoolHierarchyName>
    <PoolLoanCount xmlns="e5ae8fa2-e1da-4084-a207-18da950d5bd0">175159</PoolLoanCount>
    <OrderBySequence xmlns="e5ae8fa2-e1da-4084-a207-18da950d5bd0">1045</OrderBySequence>
    <PoolHierarchy xmlns="e5ae8fa2-e1da-4084-a207-18da950d5bd0">Base</PoolHierarchy>
    <PoolTargetTrust xmlns="e5ae8fa2-e1da-4084-a207-18da950d5bd0">UNK</PoolTargetTrust>
    <PoolOrganization xmlns="e5ae8fa2-e1da-4084-a207-18da950d5bd0">AUS</PoolOrganization>
    <PoolStatus xmlns="e5ae8fa2-e1da-4084-a207-18da950d5bd0">OPEN</PoolStatus>
    <PoolSourceHierarchy xmlns="e5ae8fa2-e1da-4084-a207-18da950d5bd0" xsi:nil="true"/>
    <ScenarioCriteriaSetId xmlns="e5ae8fa2-e1da-4084-a207-18da950d5bd0">3</ScenarioCriteriaSetId>
    <WFData xmlns="e5ae8fa2-e1da-4084-a207-18da950d5bd0" xsi:nil="true"/>
    <PoolHierarchyType xmlns="e5ae8fa2-e1da-4084-a207-18da950d5bd0" xsi:nil="true"/>
    <WFStatus xmlns="e5ae8fa2-e1da-4084-a207-18da950d5bd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Pool Information" ma:contentTypeID="0x01010065EA40C622BF4B54A501CF73C01717C90027B6EDDFAFEFF044A62883281D6CD31B" ma:contentTypeVersion="2" ma:contentTypeDescription="Pool Information" ma:contentTypeScope="" ma:versionID="6b9209b35fa170f3ec13bf4de64a57cd">
  <xsd:schema xmlns:xsd="http://www.w3.org/2001/XMLSchema" xmlns:xs="http://www.w3.org/2001/XMLSchema" xmlns:p="http://schemas.microsoft.com/office/2006/metadata/properties" xmlns:ns2="e5ae8fa2-e1da-4084-a207-18da950d5bd0" targetNamespace="http://schemas.microsoft.com/office/2006/metadata/properties" ma:root="true" ma:fieldsID="acada50a6b6312a914306a566aa420ec" ns2:_="">
    <xsd:import namespace="e5ae8fa2-e1da-4084-a207-18da950d5bd0"/>
    <xsd:element name="properties">
      <xsd:complexType>
        <xsd:sequence>
          <xsd:element name="documentManagement">
            <xsd:complexType>
              <xsd:all>
                <xsd:element ref="ns2:PoolID" minOccurs="0"/>
                <xsd:element ref="ns2:PoolOrganization" minOccurs="0"/>
                <xsd:element ref="ns2:PoolName" minOccurs="0"/>
                <xsd:element ref="ns2:PoolDescription" minOccurs="0"/>
                <xsd:element ref="ns2:PoolCutPageURL" minOccurs="0"/>
                <xsd:element ref="ns2:PoolHierarchy" minOccurs="0"/>
                <xsd:element ref="ns2:PoolHierarchyType" minOccurs="0"/>
                <xsd:element ref="ns2:OverlapPool" minOccurs="0"/>
                <xsd:element ref="ns2:PoolStatus" minOccurs="0"/>
                <xsd:element ref="ns2:WFStatus" minOccurs="0"/>
                <xsd:element ref="ns2:WFData" minOccurs="0"/>
                <xsd:element ref="ns2:PoolLoanType" minOccurs="0"/>
                <xsd:element ref="ns2:PoolLoanValue" minOccurs="0"/>
                <xsd:element ref="ns2:PoolLoanCount" minOccurs="0"/>
                <xsd:element ref="ns2:PoolTargetTrust" minOccurs="0"/>
                <xsd:element ref="ns2:PoolGroup" minOccurs="0"/>
                <xsd:element ref="ns2:PoolGroupParent" minOccurs="0"/>
                <xsd:element ref="ns2:PoolSource" minOccurs="0"/>
                <xsd:element ref="ns2:PoolSourceHierarchy" minOccurs="0"/>
                <xsd:element ref="ns2:BasePoolAsOfDate" minOccurs="0"/>
                <xsd:element ref="ns2:RefreshAsOfDate" minOccurs="0"/>
                <xsd:element ref="ns2:UpdateLoanBalanceOfDate" minOccurs="0"/>
                <xsd:element ref="ns2:PoolHierarchyName" minOccurs="0"/>
                <xsd:element ref="ns2:PoolReport" minOccurs="0"/>
                <xsd:element ref="ns2:PoolIdentification" minOccurs="0"/>
                <xsd:element ref="ns2:PoolUpdateType" minOccurs="0"/>
                <xsd:element ref="ns2:PoolUpdateBy" minOccurs="0"/>
                <xsd:element ref="ns2:OrderBySequence" minOccurs="0"/>
                <xsd:element ref="ns2:ScenarioCriteriaSe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ae8fa2-e1da-4084-a207-18da950d5bd0" elementFormDefault="qualified">
    <xsd:import namespace="http://schemas.microsoft.com/office/2006/documentManagement/types"/>
    <xsd:import namespace="http://schemas.microsoft.com/office/infopath/2007/PartnerControls"/>
    <xsd:element name="PoolID" ma:index="8" nillable="true" ma:displayName="PoolID" ma:internalName="PoolID">
      <xsd:simpleType>
        <xsd:restriction base="dms:Unknown"/>
      </xsd:simpleType>
    </xsd:element>
    <xsd:element name="PoolOrganization" ma:index="9" nillable="true" ma:displayName="Org" ma:internalName="PoolOrganization">
      <xsd:simpleType>
        <xsd:restriction base="dms:Text"/>
      </xsd:simpleType>
    </xsd:element>
    <xsd:element name="PoolName" ma:index="10" nillable="true" ma:displayName="PoolName" ma:internalName="PoolName">
      <xsd:simpleType>
        <xsd:restriction base="dms:Text"/>
      </xsd:simpleType>
    </xsd:element>
    <xsd:element name="PoolDescription" ma:index="11" nillable="true" ma:displayName="Description" ma:internalName="PoolDescription">
      <xsd:simpleType>
        <xsd:restriction base="dms:Text"/>
      </xsd:simpleType>
    </xsd:element>
    <xsd:element name="PoolCutPageURL" ma:index="12" nillable="true" ma:displayName="PoolCut" ma:internalName="PoolCutPageURL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PoolHierarchy" ma:index="13" nillable="true" ma:displayName="Hierarchy" ma:internalName="PoolHierarchy">
      <xsd:simpleType>
        <xsd:restriction base="dms:Text"/>
      </xsd:simpleType>
    </xsd:element>
    <xsd:element name="PoolHierarchyType" ma:index="14" nillable="true" ma:displayName="PoolHierarchyType" ma:internalName="PoolHierarchyType">
      <xsd:simpleType>
        <xsd:restriction base="dms:Text"/>
      </xsd:simpleType>
    </xsd:element>
    <xsd:element name="OverlapPool" ma:index="15" nillable="true" ma:displayName="Child Overlap" ma:internalName="OverlapPool">
      <xsd:simpleType>
        <xsd:restriction base="dms:Boolean"/>
      </xsd:simpleType>
    </xsd:element>
    <xsd:element name="PoolStatus" ma:index="16" nillable="true" ma:displayName="Status" ma:internalName="PoolStatus">
      <xsd:simpleType>
        <xsd:restriction base="dms:Text"/>
      </xsd:simpleType>
    </xsd:element>
    <xsd:element name="WFStatus" ma:index="17" nillable="true" ma:displayName="WFStatus" ma:internalName="WFStatus">
      <xsd:simpleType>
        <xsd:restriction base="dms:Text"/>
      </xsd:simpleType>
    </xsd:element>
    <xsd:element name="WFData" ma:index="18" nillable="true" ma:displayName="WFData" ma:internalName="WFData">
      <xsd:simpleType>
        <xsd:restriction base="dms:Text"/>
      </xsd:simpleType>
    </xsd:element>
    <xsd:element name="PoolLoanType" ma:index="19" nillable="true" ma:displayName="LoanType" ma:internalName="PoolLoanType">
      <xsd:simpleType>
        <xsd:restriction base="dms:Text"/>
      </xsd:simpleType>
    </xsd:element>
    <xsd:element name="PoolLoanValue" ma:index="20" nillable="true" ma:displayName="LoanValue" ma:internalName="PoolLoanValue">
      <xsd:simpleType>
        <xsd:restriction base="dms:Text"/>
      </xsd:simpleType>
    </xsd:element>
    <xsd:element name="PoolLoanCount" ma:index="21" nillable="true" ma:displayName="LoanCount" ma:internalName="PoolLoanCount">
      <xsd:simpleType>
        <xsd:restriction base="dms:Text"/>
      </xsd:simpleType>
    </xsd:element>
    <xsd:element name="PoolTargetTrust" ma:index="22" nillable="true" ma:displayName="TargetTrust" ma:internalName="PoolTargetTrust">
      <xsd:simpleType>
        <xsd:restriction base="dms:Text"/>
      </xsd:simpleType>
    </xsd:element>
    <xsd:element name="PoolGroup" ma:index="23" nillable="true" ma:displayName="Group" ma:internalName="PoolGroup">
      <xsd:simpleType>
        <xsd:restriction base="dms:Text"/>
      </xsd:simpleType>
    </xsd:element>
    <xsd:element name="PoolGroupParent" ma:index="24" nillable="true" ma:displayName="GroupParent" ma:internalName="PoolGroupParent">
      <xsd:simpleType>
        <xsd:restriction base="dms:Text"/>
      </xsd:simpleType>
    </xsd:element>
    <xsd:element name="PoolSource" ma:index="25" nillable="true" ma:displayName="PoolSource" ma:internalName="PoolSource">
      <xsd:simpleType>
        <xsd:restriction base="dms:Unknown"/>
      </xsd:simpleType>
    </xsd:element>
    <xsd:element name="PoolSourceHierarchy" ma:index="26" nillable="true" ma:displayName="PoolSourceHierarchy" ma:internalName="PoolSourceHierarchy">
      <xsd:simpleType>
        <xsd:restriction base="dms:Text"/>
      </xsd:simpleType>
    </xsd:element>
    <xsd:element name="BasePoolAsOfDate" ma:index="27" nillable="true" ma:displayName="Pool As Of Date" ma:internalName="BasePoolAsOfDate">
      <xsd:simpleType>
        <xsd:restriction base="dms:Text"/>
      </xsd:simpleType>
    </xsd:element>
    <xsd:element name="RefreshAsOfDate" ma:index="28" nillable="true" ma:displayName="Refresh As Of Date" ma:internalName="RefreshAsOfDate">
      <xsd:simpleType>
        <xsd:restriction base="dms:Text"/>
      </xsd:simpleType>
    </xsd:element>
    <xsd:element name="UpdateLoanBalanceOfDate" ma:index="29" nillable="true" ma:displayName="UpdateLoanBalance As Of Date" ma:internalName="UpdateLoanBalanceOfDate">
      <xsd:simpleType>
        <xsd:restriction base="dms:Text"/>
      </xsd:simpleType>
    </xsd:element>
    <xsd:element name="PoolHierarchyName" ma:index="30" nillable="true" ma:displayName="PoolName" ma:internalName="PoolHierarchyName">
      <xsd:simpleType>
        <xsd:restriction base="dms:Text"/>
      </xsd:simpleType>
    </xsd:element>
    <xsd:element name="PoolReport" ma:index="31" nillable="true" ma:displayName="Report" ma:internalName="PoolReport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PoolIdentification" ma:index="32" nillable="true" ma:displayName="PoolIdentification" ma:internalName="PoolIdentification">
      <xsd:simpleType>
        <xsd:restriction base="dms:Text"/>
      </xsd:simpleType>
    </xsd:element>
    <xsd:element name="PoolUpdateType" ma:index="33" nillable="true" ma:displayName="UpdateType" ma:internalName="PoolUpdateType">
      <xsd:simpleType>
        <xsd:restriction base="dms:Text"/>
      </xsd:simpleType>
    </xsd:element>
    <xsd:element name="PoolUpdateBy" ma:index="34" nillable="true" ma:displayName="UpdatedBy" ma:internalName="PoolUpdateBy">
      <xsd:simpleType>
        <xsd:restriction base="dms:Text"/>
      </xsd:simpleType>
    </xsd:element>
    <xsd:element name="OrderBySequence" ma:index="35" nillable="true" ma:displayName="OrderBySequence" ma:internalName="OrderBySequence">
      <xsd:simpleType>
        <xsd:restriction base="dms:Text"/>
      </xsd:simpleType>
    </xsd:element>
    <xsd:element name="ScenarioCriteriaSetId" ma:index="36" nillable="true" ma:displayName="ScenarioCriteriaSetId" ma:internalName="ScenarioCriteriaSetId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8D0127-0FE2-44A6-B60F-F2F05047A35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EF4D2F3-2BEC-417C-9A89-BE4476566629}">
  <ds:schemaRefs>
    <ds:schemaRef ds:uri="http://schemas.microsoft.com/office/2006/metadata/properties"/>
    <ds:schemaRef ds:uri="http://schemas.microsoft.com/office/infopath/2007/PartnerControls"/>
    <ds:schemaRef ds:uri="e5ae8fa2-e1da-4084-a207-18da950d5bd0"/>
  </ds:schemaRefs>
</ds:datastoreItem>
</file>

<file path=customXml/itemProps3.xml><?xml version="1.0" encoding="utf-8"?>
<ds:datastoreItem xmlns:ds="http://schemas.openxmlformats.org/officeDocument/2006/customXml" ds:itemID="{506A628D-7347-441E-91D7-3B2477F66B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ae8fa2-e1da-4084-a207-18da950d5bd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PoolStats</vt:lpstr>
      <vt:lpstr>ALR</vt:lpstr>
      <vt:lpstr>CUBE</vt:lpstr>
      <vt:lpstr>Reports</vt:lpstr>
    </vt:vector>
  </TitlesOfParts>
  <Company>Westpac Banking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L048058</dc:creator>
  <cp:lastModifiedBy>TFS_L049686</cp:lastModifiedBy>
  <dcterms:created xsi:type="dcterms:W3CDTF">2012-09-25T04:11:30Z</dcterms:created>
  <dcterms:modified xsi:type="dcterms:W3CDTF">2013-06-05T01:28:13Z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0x01010065EA40C622BF4B54A501CF73C01717C90027B6EDDFAFEFF044A62883281D6CD31B</vt:lpwstr>
  </property>
  <property fmtid="{D5CDD505-2E9C-101B-9397-08002B2CF9AE}" pid="3" name="Order">
    <vt:r8>153000</vt:r8>
  </property>
</Properties>
</file>