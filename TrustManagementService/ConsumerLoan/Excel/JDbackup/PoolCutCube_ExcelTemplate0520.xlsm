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gsuser\Desktop\"/>
    </mc:Choice>
  </mc:AlternateContent>
  <bookViews>
    <workbookView xWindow="1170" yWindow="420" windowWidth="19320" windowHeight="9570" tabRatio="813" activeTab="1"/>
  </bookViews>
  <sheets>
    <sheet name="Index" sheetId="18" r:id="rId1"/>
    <sheet name="PoolStatistics" sheetId="12" r:id="rId2"/>
    <sheet name="Distributions" sheetId="15" r:id="rId3"/>
    <sheet name="Reports" sheetId="2" r:id="rId4"/>
  </sheets>
  <definedNames>
    <definedName name="Slicer_Pool">#N/A</definedName>
  </definedNames>
  <calcPr calcId="145621"/>
  <pivotCaches>
    <pivotCache cacheId="207" r:id="rId5"/>
    <pivotCache cacheId="210" r:id="rId6"/>
    <pivotCache cacheId="213" r:id="rId7"/>
    <pivotCache cacheId="216" r:id="rId8"/>
    <pivotCache cacheId="219" r:id="rId9"/>
    <pivotCache cacheId="222" r:id="rId10"/>
    <pivotCache cacheId="225" r:id="rId11"/>
    <pivotCache cacheId="228" r:id="rId12"/>
    <pivotCache cacheId="231" r:id="rId13"/>
    <pivotCache cacheId="234" r:id="rId14"/>
    <pivotCache cacheId="237" r:id="rId15"/>
    <pivotCache cacheId="240" r:id="rId16"/>
    <pivotCache cacheId="243" r:id="rId17"/>
    <pivotCache cacheId="247" r:id="rId18"/>
    <pivotCache cacheId="250" r:id="rId19"/>
    <pivotCache cacheId="253" r:id="rId20"/>
    <pivotCache cacheId="256" r:id="rId21"/>
    <pivotCache cacheId="259" r:id="rId22"/>
    <pivotCache cacheId="262" r:id="rId23"/>
    <pivotCache cacheId="265" r:id="rId24"/>
    <pivotCache cacheId="268" r:id="rId25"/>
    <pivotCache cacheId="283" r:id="rId26"/>
  </pivotCaches>
  <extLst>
    <ext xmlns:x14="http://schemas.microsoft.com/office/spreadsheetml/2009/9/main" uri="{876F7934-8845-4945-9796-88D515C7AA90}">
      <x14:pivotCaches>
        <pivotCache cacheId="246" r:id="rId27"/>
      </x14:pivotCaches>
    </ex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6;Integrated Security=SSPI;Persist Security Info=True;Initial Catalog=SFM_ConsumerLoan_Pool_Cube;Data Source=poolcutsp.dev.local\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3">
    <s v="PoolCut Base Pool Connection String"/>
    <s v="{[View Dim EC Pass].[EC Pass No].&amp;[ECPass3]}"/>
    <s v="{[Pool].[Dim Pool ID].[All]}"/>
  </metadataStrings>
  <mdxMetadata count="2">
    <mdx n="0" f="s">
      <ms ns="1" c="0"/>
    </mdx>
    <mdx n="0" f="s">
      <ms ns="2" c="0"/>
    </mdx>
  </mdxMetadata>
  <valueMetadata count="2">
    <bk>
      <rc t="1" v="0"/>
    </bk>
    <bk>
      <rc t="1" v="1"/>
    </bk>
  </valueMetadata>
</metadata>
</file>

<file path=xl/sharedStrings.xml><?xml version="1.0" encoding="utf-8"?>
<sst xmlns="http://schemas.openxmlformats.org/spreadsheetml/2006/main" count="338" uniqueCount="140">
  <si>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</si>
  <si>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</si>
  <si>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</si>
  <si>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</si>
  <si>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</si>
  <si>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</si>
  <si>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</si>
  <si>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</si>
  <si>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</si>
  <si>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</si>
  <si>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</si>
  <si>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</si>
  <si>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</si>
  <si>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</si>
  <si>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</si>
  <si>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</si>
  <si>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利率和本金余额分布</t>
  </si>
  <si>
    <t>利率分布</t>
  </si>
  <si>
    <t>ptDistInterest</t>
  </si>
  <si>
    <t>贷款本金余额分布</t>
  </si>
  <si>
    <t>贷款利率分布</t>
  </si>
  <si>
    <t>ptDistBalance</t>
  </si>
  <si>
    <t>本金余额分布</t>
  </si>
  <si>
    <t>其他贷款属性分布</t>
  </si>
  <si>
    <t>贷款五级分类</t>
  </si>
  <si>
    <t>ptDistFiveClass</t>
  </si>
  <si>
    <t>贷款地域分布</t>
  </si>
  <si>
    <t>ptDistBranch</t>
  </si>
  <si>
    <t>贷款行业分布</t>
  </si>
  <si>
    <t>ptDistCustomerSector</t>
  </si>
  <si>
    <t>担保方式分布</t>
  </si>
  <si>
    <t>ptDistGuarantee</t>
  </si>
  <si>
    <t>资产池日报表</t>
  </si>
  <si>
    <t>Dim Pool ID</t>
  </si>
  <si>
    <t>EC Pass No</t>
  </si>
  <si>
    <t>筛选结果报表</t>
  </si>
  <si>
    <t>ptReportsALR</t>
  </si>
  <si>
    <t>资产池标识</t>
  </si>
  <si>
    <t>报表名称</t>
  </si>
  <si>
    <t>筛选条件报表</t>
  </si>
  <si>
    <t>筛选条件</t>
  </si>
  <si>
    <t>ECPass3</t>
  </si>
  <si>
    <t>商品品类分布</t>
  </si>
  <si>
    <t>ptDistProductType</t>
  </si>
  <si>
    <t>资产池未偿本金余额总额</t>
  </si>
  <si>
    <t>合同总金额</t>
  </si>
  <si>
    <t>贷款笔数</t>
  </si>
  <si>
    <t>平均本金余额</t>
  </si>
  <si>
    <t>平均合同金额</t>
  </si>
  <si>
    <t>加权平均贷款月利率</t>
  </si>
  <si>
    <t>加权平均贷款年利率</t>
  </si>
  <si>
    <t>加权平均贷款合同期限</t>
  </si>
  <si>
    <t>加权平均贷款剩余期限</t>
  </si>
  <si>
    <t>加权平均贷款账龄</t>
  </si>
  <si>
    <t>本金余额</t>
  </si>
  <si>
    <t>本金余额占比</t>
  </si>
  <si>
    <t>贷款笔数占比</t>
  </si>
  <si>
    <t>0元 - 1000元</t>
  </si>
  <si>
    <t>1000元 - 2000元</t>
  </si>
  <si>
    <t>2000元 - 3000元</t>
  </si>
  <si>
    <t>3000元 - 4000元</t>
  </si>
  <si>
    <t>4000元 - 5000元</t>
  </si>
  <si>
    <t>5000元 - 6000元</t>
  </si>
  <si>
    <t>7000元 - 8000元</t>
  </si>
  <si>
    <t>8000元 - 9000元</t>
  </si>
  <si>
    <t>9000元 - 10000元</t>
  </si>
  <si>
    <t>总数</t>
  </si>
  <si>
    <t>现金流归集报表</t>
  </si>
  <si>
    <t>评级机构资产池详细报表</t>
  </si>
  <si>
    <t>贷款相关</t>
  </si>
  <si>
    <t>客户相关</t>
  </si>
  <si>
    <t>JD_EC04_LoanEndDate</t>
  </si>
  <si>
    <t>0（含）% - 0.1（不含）%</t>
  </si>
  <si>
    <t>0.3（含）% - 0.4（不含）%</t>
  </si>
  <si>
    <t>最高合同金额</t>
  </si>
  <si>
    <t>最高剩余本金余额</t>
  </si>
  <si>
    <t>最高月利率</t>
  </si>
  <si>
    <t>最短剩余期限</t>
  </si>
  <si>
    <t>最长剩余期限</t>
  </si>
  <si>
    <t>无息合同金额占比</t>
  </si>
  <si>
    <t>合同金额最高的前10000名客户总金额占比</t>
  </si>
  <si>
    <t>总计</t>
  </si>
  <si>
    <t>10000元 - 11000元</t>
  </si>
  <si>
    <t>11000元 - 12000元</t>
  </si>
  <si>
    <t>12000元 - 13000元</t>
  </si>
  <si>
    <t>16000元 - 17000元</t>
  </si>
  <si>
    <t>0-3 个月</t>
  </si>
  <si>
    <t>6-9 个月</t>
  </si>
  <si>
    <t>12-15 个月</t>
  </si>
  <si>
    <t>18-21 个月</t>
  </si>
  <si>
    <t>24-30 个月</t>
  </si>
  <si>
    <t>All</t>
  </si>
  <si>
    <t>3-6 个月</t>
  </si>
  <si>
    <t>9-12 个月</t>
  </si>
  <si>
    <t>15-18 个月</t>
  </si>
  <si>
    <t>21-24 个月</t>
  </si>
  <si>
    <t>6000元 - 7000元</t>
  </si>
  <si>
    <t>13000元 - 14000元</t>
  </si>
  <si>
    <t>14000元 - 15000元</t>
  </si>
  <si>
    <t>15000元 - 16000元</t>
  </si>
  <si>
    <t>17000元 - 18000元</t>
  </si>
  <si>
    <t>19000元 - 20000元</t>
  </si>
  <si>
    <t>汇总</t>
  </si>
  <si>
    <t>JD-EC20-Seasoning</t>
  </si>
  <si>
    <t>ECT1_Targeting_Parent</t>
  </si>
  <si>
    <t>0.1（含）% - 0.2（不含）%</t>
  </si>
  <si>
    <t>0.2（含）% - 0.3（不含）%</t>
  </si>
  <si>
    <t>0.4（含）% - 0.5（不含）%</t>
  </si>
  <si>
    <t>0.5（含）% - 0.6（不含）%</t>
  </si>
  <si>
    <t>0.6（含）% - 0.7（不含）%</t>
  </si>
  <si>
    <t>0.7（含）% - 0.8（不含）%</t>
  </si>
  <si>
    <t>0.8（含）% - 0.9（不含）%</t>
  </si>
  <si>
    <t>0.9（含）% - 1（不含）%</t>
  </si>
  <si>
    <t>1（含）% - 1.1（不含）%</t>
  </si>
  <si>
    <t>1.2（含）% - 1.3（不含）%</t>
  </si>
  <si>
    <t>1.5（含）% - 1.6（不含）%</t>
  </si>
  <si>
    <t>2.4（含）% - 2.5（不含）%</t>
  </si>
  <si>
    <t>2.5（含）% - 2.6（不含）%</t>
  </si>
  <si>
    <t>6（含）% - 6.1（不含）%</t>
  </si>
  <si>
    <t>11.5（含）% - 11.6（不含）%</t>
  </si>
  <si>
    <t>Refeshed at : 09:58:00 上午</t>
  </si>
  <si>
    <t>服务费率</t>
  </si>
  <si>
    <t>手续费率</t>
  </si>
  <si>
    <t>婚姻状况</t>
  </si>
  <si>
    <t>学历分布</t>
  </si>
  <si>
    <t>月收入分布</t>
  </si>
  <si>
    <t>申请地点分布</t>
  </si>
  <si>
    <t>申请用途分布</t>
  </si>
  <si>
    <t>还款方式分布</t>
  </si>
  <si>
    <t>扣款日类别分布</t>
  </si>
  <si>
    <t>N</t>
  </si>
  <si>
    <t>Y</t>
  </si>
  <si>
    <t>逾期分布</t>
  </si>
  <si>
    <t>信用分数分布</t>
  </si>
  <si>
    <t>信用评级分布</t>
  </si>
  <si>
    <t>260</t>
  </si>
  <si>
    <t>261</t>
  </si>
  <si>
    <t>262</t>
  </si>
  <si>
    <t>ECT2_Targeting_Size</t>
  </si>
  <si>
    <t>客户地点分布区域</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</si>
</sst>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_-* #,##0.00_-;\-* #,##0.00_-;_-* &quot;-&quot;??_-;_-@_-"/>
    <numFmt numFmtId="165" formatCode="&quot;$&quot;#,##0.00"/>
    <numFmt numFmtId="166" formatCode="[$¥-804]#,##0.00"/>
    <numFmt numFmtId="167" formatCode="#,##0.00\ %;\-#,##0.00\ %"/>
    <numFmt numFmtId="168" formatCode="#,##0;\-#,##0"/>
    <numFmt numFmtId="169" formatCode="#,##0.00;\-#,##0.00"/>
  </numFmts>
  <fonts count="15">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9"/>
      <name val="Calibri"/>
      <family val="3"/>
      <charset val="134"/>
      <scheme val="minor"/>
    </font>
  </fonts>
  <fills count="3">
    <fill>
      <patternFill patternType="none"/>
    </fill>
    <fill>
      <patternFill patternType="gray125"/>
    </fill>
    <fill>
      <patternFill patternType="solid">
        <fgColor theme="8" tint="0.79998168889431442"/>
        <bgColor indexed="64"/>
      </patternFill>
    </fill>
  </fills>
  <borders count="1">
    <border>
      <left/>
      <right/>
      <top/>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9">
    <xf numFmtId="0" fontId="0" fillId="0" borderId="0" xfId="0"/>
    <xf numFmtId="0" fontId="0" fillId="0" borderId="0" xfId="0" applyAlignment="1">
      <alignment horizontal="center"/>
    </xf>
    <xf numFmtId="0" fontId="0" fillId="0" borderId="0" xfId="0"/>
    <xf numFmtId="0" fontId="2" fillId="0" borderId="0" xfId="0" applyFont="1"/>
    <xf numFmtId="165" fontId="0" fillId="0" borderId="0" xfId="0" applyNumberFormat="1" applyAlignment="1">
      <alignment horizontal="center"/>
    </xf>
    <xf numFmtId="3" fontId="0" fillId="0" borderId="0" xfId="0" applyNumberFormat="1" applyAlignment="1">
      <alignment horizontal="center"/>
    </xf>
    <xf numFmtId="0" fontId="4" fillId="0" borderId="0" xfId="0" applyFont="1"/>
    <xf numFmtId="0" fontId="6" fillId="0" borderId="0" xfId="0" applyFont="1" applyFill="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left"/>
    </xf>
    <xf numFmtId="166" fontId="0" fillId="0" borderId="0" xfId="0" applyNumberFormat="1"/>
    <xf numFmtId="167" fontId="0" fillId="0" borderId="0" xfId="0" applyNumberFormat="1"/>
    <xf numFmtId="0" fontId="0" fillId="0" borderId="0" xfId="0" applyNumberFormat="1"/>
    <xf numFmtId="2" fontId="0" fillId="0" borderId="0" xfId="0" applyNumberFormat="1"/>
    <xf numFmtId="10" fontId="0" fillId="0" borderId="0" xfId="0" applyNumberFormat="1"/>
    <xf numFmtId="0" fontId="0" fillId="0" borderId="0" xfId="0" applyAlignment="1">
      <alignment horizontal="right"/>
    </xf>
    <xf numFmtId="0" fontId="4" fillId="0" borderId="0" xfId="0" applyFont="1" applyAlignment="1">
      <alignment horizontal="center" wrapText="1"/>
    </xf>
    <xf numFmtId="168" fontId="0" fillId="0" borderId="0" xfId="0" applyNumberFormat="1"/>
    <xf numFmtId="169" fontId="0" fillId="0" borderId="0" xfId="0" applyNumberFormat="1"/>
    <xf numFmtId="168" fontId="0" fillId="0" borderId="0" xfId="0" applyNumberFormat="1" applyAlignment="1">
      <alignment horizontal="right"/>
    </xf>
  </cellXfs>
  <cellStyles count="8">
    <cellStyle name="Comma 2" xfId="2"/>
    <cellStyle name="Comma 3" xfId="4"/>
    <cellStyle name="Normal 2" xfId="1"/>
    <cellStyle name="Normal 3" xfId="3"/>
    <cellStyle name="Normal 3 4 2" xfId="6"/>
    <cellStyle name="Percent 2" xfId="5"/>
    <cellStyle name="常规" xfId="0" builtinId="0"/>
    <cellStyle name="超链接" xfId="7" builtinId="8"/>
  </cellStyles>
  <dxfs count="359">
    <dxf>
      <numFmt numFmtId="166" formatCode="[$¥-804]#,##0.00"/>
    </dxf>
    <dxf>
      <numFmt numFmtId="166" formatCode="[$¥-804]#,##0.00"/>
    </dxf>
    <dxf>
      <numFmt numFmtId="166" formatCode="[$¥-804]#,##0.00"/>
    </dxf>
    <dxf>
      <numFmt numFmtId="2" formatCode="0.00"/>
    </dxf>
    <dxf>
      <numFmt numFmtId="2" formatCode="0.00"/>
    </dxf>
    <dxf>
      <numFmt numFmtId="14" formatCode="0.00%"/>
    </dxf>
    <dxf>
      <numFmt numFmtId="14" formatCode="0.00%"/>
    </dxf>
    <dxf>
      <numFmt numFmtId="166" formatCode="[$¥-804]#,##0.00"/>
    </dxf>
    <dxf>
      <numFmt numFmtId="166" formatCode="[$¥-804]#,##0.00"/>
    </dxf>
    <dxf>
      <numFmt numFmtId="166" formatCode="[$¥-804]#,##0.00"/>
    </dxf>
    <dxf>
      <numFmt numFmtId="2" formatCode="0.00"/>
    </dxf>
    <dxf>
      <numFmt numFmtId="2" formatCode="0.00"/>
    </dxf>
    <dxf>
      <numFmt numFmtId="14" formatCode="0.00%"/>
    </dxf>
    <dxf>
      <numFmt numFmtId="14" formatCode="0.00%"/>
    </dxf>
    <dxf>
      <numFmt numFmtId="166" formatCode="[$¥-804]#,##0.00"/>
    </dxf>
    <dxf>
      <numFmt numFmtId="166" formatCode="[$¥-804]#,##0.00"/>
    </dxf>
    <dxf>
      <numFmt numFmtId="166" formatCode="[$¥-804]#,##0.00"/>
    </dxf>
    <dxf>
      <numFmt numFmtId="2" formatCode="0.00"/>
    </dxf>
    <dxf>
      <numFmt numFmtId="2" formatCode="0.00"/>
    </dxf>
    <dxf>
      <numFmt numFmtId="14" formatCode="0.00%"/>
    </dxf>
    <dxf>
      <numFmt numFmtId="14" formatCode="0.00%"/>
    </dxf>
    <dxf>
      <numFmt numFmtId="166" formatCode="[$¥-804]#,##0.00"/>
    </dxf>
    <dxf>
      <numFmt numFmtId="166" formatCode="[$¥-804]#,##0.00"/>
    </dxf>
    <dxf>
      <numFmt numFmtId="166" formatCode="[$¥-804]#,##0.00"/>
    </dxf>
    <dxf>
      <numFmt numFmtId="2" formatCode="0.00"/>
    </dxf>
    <dxf>
      <numFmt numFmtId="2" formatCode="0.00"/>
    </dxf>
    <dxf>
      <numFmt numFmtId="14" formatCode="0.00%"/>
    </dxf>
    <dxf>
      <numFmt numFmtId="14" formatCode="0.00%"/>
    </dxf>
    <dxf>
      <numFmt numFmtId="166" formatCode="[$¥-804]#,##0.00"/>
    </dxf>
    <dxf>
      <numFmt numFmtId="166" formatCode="[$¥-804]#,##0.00"/>
    </dxf>
    <dxf>
      <numFmt numFmtId="166" formatCode="[$¥-804]#,##0.00"/>
    </dxf>
    <dxf>
      <numFmt numFmtId="2" formatCode="0.00"/>
    </dxf>
    <dxf>
      <numFmt numFmtId="2" formatCode="0.00"/>
    </dxf>
    <dxf>
      <numFmt numFmtId="14" formatCode="0.00%"/>
    </dxf>
    <dxf>
      <numFmt numFmtId="14" formatCode="0.00%"/>
    </dxf>
    <dxf>
      <numFmt numFmtId="166" formatCode="[$¥-804]#,##0.00"/>
    </dxf>
    <dxf>
      <numFmt numFmtId="166" formatCode="[$¥-804]#,##0.00"/>
    </dxf>
    <dxf>
      <numFmt numFmtId="166" formatCode="[$¥-804]#,##0.00"/>
    </dxf>
    <dxf>
      <numFmt numFmtId="2" formatCode="0.00"/>
    </dxf>
    <dxf>
      <numFmt numFmtId="2" formatCode="0.00"/>
    </dxf>
    <dxf>
      <numFmt numFmtId="14" formatCode="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numFmt numFmtId="14" formatCode="0.00%"/>
    </dxf>
    <dxf>
      <numFmt numFmtId="2" formatCode="0.00"/>
    </dxf>
    <dxf>
      <numFmt numFmtId="2" formatCode="0.00"/>
    </dxf>
    <dxf>
      <numFmt numFmtId="166" formatCode="[$¥-804]#,##0.00"/>
    </dxf>
    <dxf>
      <numFmt numFmtId="166" formatCode="[$¥-804]#,##0.00"/>
    </dxf>
    <dxf>
      <numFmt numFmtId="166" formatCode="[$¥-804]#,##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customXml" Target="../customXml/item1.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microsoft.com/office/2007/relationships/slicerCache" Target="slicerCaches/slicerCache1.xml"/><Relationship Id="rId36" Type="http://schemas.openxmlformats.org/officeDocument/2006/relationships/customXml" Target="../customXml/item3.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connections" Target="connections.xml"/><Relationship Id="rId35" Type="http://schemas.openxmlformats.org/officeDocument/2006/relationships/customXml" Target="../customXml/item2.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[PoolBase_Template.xlsm]Distributions!ptDistContractTerm</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Distributions!$B$20</c:f>
              <c:strCache>
                <c:ptCount val="1"/>
                <c:pt idx="0">
                  <c:v>本金余额</c:v>
                </c:pt>
              </c:strCache>
            </c:strRef>
          </c:tx>
          <c:spPr>
            <a:solidFill>
              <a:schemeClr val="accent1"/>
            </a:solidFill>
            <a:ln>
              <a:noFill/>
            </a:ln>
            <a:effectLst/>
          </c:spPr>
          <c:invertIfNegative val="0"/>
          <c:cat>
            <c:strRef>
              <c:f>Distributions!$A$21:$A$25</c:f>
              <c:strCache>
                <c:ptCount val="4"/>
                <c:pt idx="0">
                  <c:v>0-3 个月</c:v>
                </c:pt>
                <c:pt idx="1">
                  <c:v>3-6 个月</c:v>
                </c:pt>
                <c:pt idx="2">
                  <c:v>9-12 个月</c:v>
                </c:pt>
                <c:pt idx="3">
                  <c:v>21-24 个月</c:v>
                </c:pt>
              </c:strCache>
            </c:strRef>
          </c:cat>
          <c:val>
            <c:numRef>
              <c:f>Distributions!$B$21:$B$25</c:f>
              <c:numCache>
                <c:formatCode>[$¥-804]#,##0.00</c:formatCode>
                <c:ptCount val="4"/>
                <c:pt idx="0">
                  <c:v>79549064.570001245</c:v>
                </c:pt>
                <c:pt idx="1">
                  <c:v>67329079.749999821</c:v>
                </c:pt>
                <c:pt idx="2">
                  <c:v>288863038.22000086</c:v>
                </c:pt>
                <c:pt idx="3">
                  <c:v>255421867.74999997</c:v>
                </c:pt>
              </c:numCache>
            </c:numRef>
          </c:val>
        </c:ser>
        <c:ser>
          <c:idx val="1"/>
          <c:order val="1"/>
          <c:tx>
            <c:strRef>
              <c:f>Distributions!$C$20</c:f>
              <c:strCache>
                <c:ptCount val="1"/>
                <c:pt idx="0">
                  <c:v>本金余额占比</c:v>
                </c:pt>
              </c:strCache>
            </c:strRef>
          </c:tx>
          <c:spPr>
            <a:solidFill>
              <a:schemeClr val="accent2"/>
            </a:solidFill>
            <a:ln>
              <a:noFill/>
            </a:ln>
            <a:effectLst/>
          </c:spPr>
          <c:invertIfNegative val="0"/>
          <c:cat>
            <c:strRef>
              <c:f>Distributions!$A$21:$A$25</c:f>
              <c:strCache>
                <c:ptCount val="4"/>
                <c:pt idx="0">
                  <c:v>0-3 个月</c:v>
                </c:pt>
                <c:pt idx="1">
                  <c:v>3-6 个月</c:v>
                </c:pt>
                <c:pt idx="2">
                  <c:v>9-12 个月</c:v>
                </c:pt>
                <c:pt idx="3">
                  <c:v>21-24 个月</c:v>
                </c:pt>
              </c:strCache>
            </c:strRef>
          </c:cat>
          <c:val>
            <c:numRef>
              <c:f>Distributions!$C$21:$C$25</c:f>
              <c:numCache>
                <c:formatCode>0.00%</c:formatCode>
                <c:ptCount val="4"/>
                <c:pt idx="0">
                  <c:v>0.11509449837722469</c:v>
                </c:pt>
                <c:pt idx="1">
                  <c:v>9.7414177048018871E-2</c:v>
                </c:pt>
                <c:pt idx="2">
                  <c:v>0.41793761703377325</c:v>
                </c:pt>
                <c:pt idx="3">
                  <c:v>0.36955370754097117</c:v>
                </c:pt>
              </c:numCache>
            </c:numRef>
          </c:val>
        </c:ser>
        <c:ser>
          <c:idx val="2"/>
          <c:order val="2"/>
          <c:tx>
            <c:strRef>
              <c:f>Distributions!$D$20</c:f>
              <c:strCache>
                <c:ptCount val="1"/>
                <c:pt idx="0">
                  <c:v>贷款笔数占比</c:v>
                </c:pt>
              </c:strCache>
            </c:strRef>
          </c:tx>
          <c:spPr>
            <a:solidFill>
              <a:schemeClr val="accent3"/>
            </a:solidFill>
            <a:ln>
              <a:noFill/>
            </a:ln>
            <a:effectLst/>
          </c:spPr>
          <c:invertIfNegative val="0"/>
          <c:cat>
            <c:strRef>
              <c:f>Distributions!$A$21:$A$25</c:f>
              <c:strCache>
                <c:ptCount val="4"/>
                <c:pt idx="0">
                  <c:v>0-3 个月</c:v>
                </c:pt>
                <c:pt idx="1">
                  <c:v>3-6 个月</c:v>
                </c:pt>
                <c:pt idx="2">
                  <c:v>9-12 个月</c:v>
                </c:pt>
                <c:pt idx="3">
                  <c:v>21-24 个月</c:v>
                </c:pt>
              </c:strCache>
            </c:strRef>
          </c:cat>
          <c:val>
            <c:numRef>
              <c:f>Distributions!$D$21:$D$25</c:f>
              <c:numCache>
                <c:formatCode>#,##0_);\(#,##0\)</c:formatCode>
                <c:ptCount val="4"/>
                <c:pt idx="0">
                  <c:v>347945</c:v>
                </c:pt>
                <c:pt idx="1">
                  <c:v>227880</c:v>
                </c:pt>
                <c:pt idx="2">
                  <c:v>500955</c:v>
                </c:pt>
                <c:pt idx="3">
                  <c:v>391586</c:v>
                </c:pt>
              </c:numCache>
            </c:numRef>
          </c:val>
        </c:ser>
        <c:ser>
          <c:idx val="3"/>
          <c:order val="3"/>
          <c:tx>
            <c:strRef>
              <c:f>Distributions!$E$20</c:f>
              <c:strCache>
                <c:ptCount val="1"/>
                <c:pt idx="0">
                  <c:v>贷款笔数占比</c:v>
                </c:pt>
              </c:strCache>
            </c:strRef>
          </c:tx>
          <c:spPr>
            <a:solidFill>
              <a:schemeClr val="accent4"/>
            </a:solidFill>
            <a:ln>
              <a:noFill/>
            </a:ln>
            <a:effectLst/>
          </c:spPr>
          <c:invertIfNegative val="0"/>
          <c:cat>
            <c:strRef>
              <c:f>Distributions!$A$21:$A$25</c:f>
              <c:strCache>
                <c:ptCount val="4"/>
                <c:pt idx="0">
                  <c:v>0-3 个月</c:v>
                </c:pt>
                <c:pt idx="1">
                  <c:v>3-6 个月</c:v>
                </c:pt>
                <c:pt idx="2">
                  <c:v>9-12 个月</c:v>
                </c:pt>
                <c:pt idx="3">
                  <c:v>21-24 个月</c:v>
                </c:pt>
              </c:strCache>
            </c:strRef>
          </c:cat>
          <c:val>
            <c:numRef>
              <c:f>Distributions!$E$21:$E$25</c:f>
              <c:numCache>
                <c:formatCode>0.00%</c:formatCode>
                <c:ptCount val="4"/>
                <c:pt idx="0">
                  <c:v>0.23696067601674242</c:v>
                </c:pt>
                <c:pt idx="1">
                  <c:v>0.15519291511789296</c:v>
                </c:pt>
                <c:pt idx="2">
                  <c:v>0.34116494116589463</c:v>
                </c:pt>
                <c:pt idx="3">
                  <c:v>0.26668146769947004</c:v>
                </c:pt>
              </c:numCache>
            </c:numRef>
          </c:val>
        </c:ser>
        <c:dLbls>
          <c:showLegendKey val="0"/>
          <c:showVal val="0"/>
          <c:showCatName val="0"/>
          <c:showSerName val="0"/>
          <c:showPercent val="0"/>
          <c:showBubbleSize val="0"/>
        </c:dLbls>
        <c:gapWidth val="150"/>
        <c:axId val="2112587536"/>
        <c:axId val="2112588080"/>
      </c:barChart>
      <c:catAx>
        <c:axId val="2112587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2588080"/>
        <c:crosses val="autoZero"/>
        <c:auto val="1"/>
        <c:lblAlgn val="ctr"/>
        <c:lblOffset val="100"/>
        <c:noMultiLvlLbl val="0"/>
      </c:catAx>
      <c:valAx>
        <c:axId val="21125880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2587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[PoolBase_Template.xlsm]Distributions!ptDistSeasoning</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Distributions!$H$20</c:f>
              <c:strCache>
                <c:ptCount val="1"/>
                <c:pt idx="0">
                  <c:v>本金余额</c:v>
                </c:pt>
              </c:strCache>
            </c:strRef>
          </c:tx>
          <c:spPr>
            <a:solidFill>
              <a:schemeClr val="accent1"/>
            </a:solidFill>
            <a:ln>
              <a:noFill/>
            </a:ln>
            <a:effectLst/>
          </c:spPr>
          <c:invertIfNegative val="0"/>
          <c:cat>
            <c:strRef>
              <c:f>Distributions!$G$21:$G$26</c:f>
              <c:strCache>
                <c:ptCount val="5"/>
                <c:pt idx="0">
                  <c:v>0-3 个月</c:v>
                </c:pt>
                <c:pt idx="1">
                  <c:v>6-9 个月</c:v>
                </c:pt>
                <c:pt idx="2">
                  <c:v>12-15 个月</c:v>
                </c:pt>
                <c:pt idx="3">
                  <c:v>18-21 个月</c:v>
                </c:pt>
                <c:pt idx="4">
                  <c:v>24-30 个月</c:v>
                </c:pt>
              </c:strCache>
            </c:strRef>
          </c:cat>
          <c:val>
            <c:numRef>
              <c:f>Distributions!$H$21:$H$26</c:f>
              <c:numCache>
                <c:formatCode>[$¥-804]#,##0.00</c:formatCode>
                <c:ptCount val="5"/>
                <c:pt idx="0">
                  <c:v>523756356.8800059</c:v>
                </c:pt>
                <c:pt idx="1">
                  <c:v>118884150.23000282</c:v>
                </c:pt>
                <c:pt idx="2">
                  <c:v>36001788.260000385</c:v>
                </c:pt>
                <c:pt idx="3">
                  <c:v>12416661.680000005</c:v>
                </c:pt>
                <c:pt idx="4">
                  <c:v>104093.24000000003</c:v>
                </c:pt>
              </c:numCache>
            </c:numRef>
          </c:val>
        </c:ser>
        <c:ser>
          <c:idx val="1"/>
          <c:order val="1"/>
          <c:tx>
            <c:strRef>
              <c:f>Distributions!$I$20</c:f>
              <c:strCache>
                <c:ptCount val="1"/>
                <c:pt idx="0">
                  <c:v>本金余额占比</c:v>
                </c:pt>
              </c:strCache>
            </c:strRef>
          </c:tx>
          <c:spPr>
            <a:solidFill>
              <a:schemeClr val="accent2"/>
            </a:solidFill>
            <a:ln>
              <a:noFill/>
            </a:ln>
            <a:effectLst/>
          </c:spPr>
          <c:invertIfNegative val="0"/>
          <c:cat>
            <c:strRef>
              <c:f>Distributions!$G$21:$G$26</c:f>
              <c:strCache>
                <c:ptCount val="5"/>
                <c:pt idx="0">
                  <c:v>0-3 个月</c:v>
                </c:pt>
                <c:pt idx="1">
                  <c:v>6-9 个月</c:v>
                </c:pt>
                <c:pt idx="2">
                  <c:v>12-15 个月</c:v>
                </c:pt>
                <c:pt idx="3">
                  <c:v>18-21 个月</c:v>
                </c:pt>
                <c:pt idx="4">
                  <c:v>24-30 个月</c:v>
                </c:pt>
              </c:strCache>
            </c:strRef>
          </c:cat>
          <c:val>
            <c:numRef>
              <c:f>Distributions!$I$21:$I$26</c:f>
              <c:numCache>
                <c:formatCode>0.00%</c:formatCode>
                <c:ptCount val="5"/>
                <c:pt idx="0">
                  <c:v>0.75778986833893835</c:v>
                </c:pt>
                <c:pt idx="1">
                  <c:v>0.17200594010359688</c:v>
                </c:pt>
                <c:pt idx="2">
                  <c:v>5.2088705038404653E-2</c:v>
                </c:pt>
                <c:pt idx="3">
                  <c:v>1.7964880609271584E-2</c:v>
                </c:pt>
                <c:pt idx="4">
                  <c:v>1.5060590978687705E-4</c:v>
                </c:pt>
              </c:numCache>
            </c:numRef>
          </c:val>
        </c:ser>
        <c:ser>
          <c:idx val="2"/>
          <c:order val="2"/>
          <c:tx>
            <c:strRef>
              <c:f>Distributions!$J$20</c:f>
              <c:strCache>
                <c:ptCount val="1"/>
                <c:pt idx="0">
                  <c:v>贷款笔数占比</c:v>
                </c:pt>
              </c:strCache>
            </c:strRef>
          </c:tx>
          <c:spPr>
            <a:solidFill>
              <a:schemeClr val="accent3"/>
            </a:solidFill>
            <a:ln>
              <a:noFill/>
            </a:ln>
            <a:effectLst/>
          </c:spPr>
          <c:invertIfNegative val="0"/>
          <c:cat>
            <c:strRef>
              <c:f>Distributions!$G$21:$G$26</c:f>
              <c:strCache>
                <c:ptCount val="5"/>
                <c:pt idx="0">
                  <c:v>0-3 个月</c:v>
                </c:pt>
                <c:pt idx="1">
                  <c:v>6-9 个月</c:v>
                </c:pt>
                <c:pt idx="2">
                  <c:v>12-15 个月</c:v>
                </c:pt>
                <c:pt idx="3">
                  <c:v>18-21 个月</c:v>
                </c:pt>
                <c:pt idx="4">
                  <c:v>24-30 个月</c:v>
                </c:pt>
              </c:strCache>
            </c:strRef>
          </c:cat>
          <c:val>
            <c:numRef>
              <c:f>Distributions!$J$21:$J$26</c:f>
              <c:numCache>
                <c:formatCode>#,##0_);\(#,##0\)</c:formatCode>
                <c:ptCount val="5"/>
                <c:pt idx="0">
                  <c:v>1111225</c:v>
                </c:pt>
                <c:pt idx="1">
                  <c:v>272841</c:v>
                </c:pt>
                <c:pt idx="2">
                  <c:v>56060</c:v>
                </c:pt>
                <c:pt idx="3">
                  <c:v>28024</c:v>
                </c:pt>
                <c:pt idx="4">
                  <c:v>216</c:v>
                </c:pt>
              </c:numCache>
            </c:numRef>
          </c:val>
        </c:ser>
        <c:ser>
          <c:idx val="3"/>
          <c:order val="3"/>
          <c:tx>
            <c:strRef>
              <c:f>Distributions!$K$20</c:f>
              <c:strCache>
                <c:ptCount val="1"/>
                <c:pt idx="0">
                  <c:v>贷款笔数占比</c:v>
                </c:pt>
              </c:strCache>
            </c:strRef>
          </c:tx>
          <c:spPr>
            <a:solidFill>
              <a:schemeClr val="accent4"/>
            </a:solidFill>
            <a:ln>
              <a:noFill/>
            </a:ln>
            <a:effectLst/>
          </c:spPr>
          <c:invertIfNegative val="0"/>
          <c:cat>
            <c:strRef>
              <c:f>Distributions!$G$21:$G$26</c:f>
              <c:strCache>
                <c:ptCount val="5"/>
                <c:pt idx="0">
                  <c:v>0-3 个月</c:v>
                </c:pt>
                <c:pt idx="1">
                  <c:v>6-9 个月</c:v>
                </c:pt>
                <c:pt idx="2">
                  <c:v>12-15 个月</c:v>
                </c:pt>
                <c:pt idx="3">
                  <c:v>18-21 个月</c:v>
                </c:pt>
                <c:pt idx="4">
                  <c:v>24-30 个月</c:v>
                </c:pt>
              </c:strCache>
            </c:strRef>
          </c:cat>
          <c:val>
            <c:numRef>
              <c:f>Distributions!$K$21:$K$26</c:f>
              <c:numCache>
                <c:formatCode>0.00%</c:formatCode>
                <c:ptCount val="5"/>
                <c:pt idx="0">
                  <c:v>0.75677658022591099</c:v>
                </c:pt>
                <c:pt idx="1">
                  <c:v>0.18581266523468945</c:v>
                </c:pt>
                <c:pt idx="2">
                  <c:v>3.8178492283259077E-2</c:v>
                </c:pt>
                <c:pt idx="3">
                  <c:v>1.9085159966929225E-2</c:v>
                </c:pt>
                <c:pt idx="4">
                  <c:v>1.4710228921127293E-4</c:v>
                </c:pt>
              </c:numCache>
            </c:numRef>
          </c:val>
        </c:ser>
        <c:dLbls>
          <c:showLegendKey val="0"/>
          <c:showVal val="0"/>
          <c:showCatName val="0"/>
          <c:showSerName val="0"/>
          <c:showPercent val="0"/>
          <c:showBubbleSize val="0"/>
        </c:dLbls>
        <c:gapWidth val="150"/>
        <c:axId val="233647952"/>
        <c:axId val="233635984"/>
      </c:barChart>
      <c:catAx>
        <c:axId val="233647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635984"/>
        <c:crosses val="autoZero"/>
        <c:auto val="1"/>
        <c:lblAlgn val="ctr"/>
        <c:lblOffset val="100"/>
        <c:noMultiLvlLbl val="0"/>
      </c:catAx>
      <c:valAx>
        <c:axId val="2336359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647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[PoolBase_Template.xlsm]Distributions!ptDistRemainingTerm</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Distributions!$N$20</c:f>
              <c:strCache>
                <c:ptCount val="1"/>
                <c:pt idx="0">
                  <c:v>本金余额</c:v>
                </c:pt>
              </c:strCache>
            </c:strRef>
          </c:tx>
          <c:spPr>
            <a:solidFill>
              <a:schemeClr val="accent1"/>
            </a:solidFill>
            <a:ln>
              <a:noFill/>
            </a:ln>
            <a:effectLst/>
          </c:spPr>
          <c:invertIfNegative val="0"/>
          <c:cat>
            <c:strRef>
              <c:f>Distributions!$M$21:$M$29</c:f>
              <c:strCache>
                <c:ptCount val="8"/>
                <c:pt idx="0">
                  <c:v>0-3 个月</c:v>
                </c:pt>
                <c:pt idx="1">
                  <c:v>3-6 个月</c:v>
                </c:pt>
                <c:pt idx="2">
                  <c:v>6-9 个月</c:v>
                </c:pt>
                <c:pt idx="3">
                  <c:v>9-12 个月</c:v>
                </c:pt>
                <c:pt idx="4">
                  <c:v>12-15 个月</c:v>
                </c:pt>
                <c:pt idx="5">
                  <c:v>15-18 个月</c:v>
                </c:pt>
                <c:pt idx="6">
                  <c:v>18-21 个月</c:v>
                </c:pt>
                <c:pt idx="7">
                  <c:v>21-24 个月</c:v>
                </c:pt>
              </c:strCache>
            </c:strRef>
          </c:cat>
          <c:val>
            <c:numRef>
              <c:f>Distributions!$N$21:$N$29</c:f>
              <c:numCache>
                <c:formatCode>[$¥-804]#,##0.00</c:formatCode>
                <c:ptCount val="8"/>
                <c:pt idx="0">
                  <c:v>108529551.86000106</c:v>
                </c:pt>
                <c:pt idx="1">
                  <c:v>98332043.960000426</c:v>
                </c:pt>
                <c:pt idx="2">
                  <c:v>93964173.250000104</c:v>
                </c:pt>
                <c:pt idx="3">
                  <c:v>169811800.33999914</c:v>
                </c:pt>
                <c:pt idx="4">
                  <c:v>24899069.100000322</c:v>
                </c:pt>
                <c:pt idx="5">
                  <c:v>28986791.159999892</c:v>
                </c:pt>
                <c:pt idx="6">
                  <c:v>60807818.569999784</c:v>
                </c:pt>
                <c:pt idx="7">
                  <c:v>105831802.05000012</c:v>
                </c:pt>
              </c:numCache>
            </c:numRef>
          </c:val>
        </c:ser>
        <c:ser>
          <c:idx val="1"/>
          <c:order val="1"/>
          <c:tx>
            <c:strRef>
              <c:f>Distributions!$O$20</c:f>
              <c:strCache>
                <c:ptCount val="1"/>
                <c:pt idx="0">
                  <c:v>本金余额占比</c:v>
                </c:pt>
              </c:strCache>
            </c:strRef>
          </c:tx>
          <c:spPr>
            <a:solidFill>
              <a:schemeClr val="accent2"/>
            </a:solidFill>
            <a:ln>
              <a:noFill/>
            </a:ln>
            <a:effectLst/>
          </c:spPr>
          <c:invertIfNegative val="0"/>
          <c:cat>
            <c:strRef>
              <c:f>Distributions!$M$21:$M$29</c:f>
              <c:strCache>
                <c:ptCount val="8"/>
                <c:pt idx="0">
                  <c:v>0-3 个月</c:v>
                </c:pt>
                <c:pt idx="1">
                  <c:v>3-6 个月</c:v>
                </c:pt>
                <c:pt idx="2">
                  <c:v>6-9 个月</c:v>
                </c:pt>
                <c:pt idx="3">
                  <c:v>9-12 个月</c:v>
                </c:pt>
                <c:pt idx="4">
                  <c:v>12-15 个月</c:v>
                </c:pt>
                <c:pt idx="5">
                  <c:v>15-18 个月</c:v>
                </c:pt>
                <c:pt idx="6">
                  <c:v>18-21 个月</c:v>
                </c:pt>
                <c:pt idx="7">
                  <c:v>21-24 个月</c:v>
                </c:pt>
              </c:strCache>
            </c:strRef>
          </c:cat>
          <c:val>
            <c:numRef>
              <c:f>Distributions!$O$21:$O$29</c:f>
              <c:numCache>
                <c:formatCode>0.00%</c:formatCode>
                <c:ptCount val="8"/>
                <c:pt idx="0">
                  <c:v>0.15702452816952867</c:v>
                </c:pt>
                <c:pt idx="1">
                  <c:v>0.14227040047748582</c:v>
                </c:pt>
                <c:pt idx="2">
                  <c:v>0.13595080525582637</c:v>
                </c:pt>
                <c:pt idx="3">
                  <c:v>0.24568992840220052</c:v>
                </c:pt>
                <c:pt idx="4">
                  <c:v>3.6024884561685899E-2</c:v>
                </c:pt>
                <c:pt idx="5">
                  <c:v>4.1939150462162456E-2</c:v>
                </c:pt>
                <c:pt idx="6">
                  <c:v>8.7978977673191558E-2</c:v>
                </c:pt>
                <c:pt idx="7">
                  <c:v>0.15312132499790515</c:v>
                </c:pt>
              </c:numCache>
            </c:numRef>
          </c:val>
        </c:ser>
        <c:ser>
          <c:idx val="2"/>
          <c:order val="2"/>
          <c:tx>
            <c:strRef>
              <c:f>Distributions!$P$20</c:f>
              <c:strCache>
                <c:ptCount val="1"/>
                <c:pt idx="0">
                  <c:v>贷款笔数占比</c:v>
                </c:pt>
              </c:strCache>
            </c:strRef>
          </c:tx>
          <c:spPr>
            <a:solidFill>
              <a:schemeClr val="accent3"/>
            </a:solidFill>
            <a:ln>
              <a:noFill/>
            </a:ln>
            <a:effectLst/>
          </c:spPr>
          <c:invertIfNegative val="0"/>
          <c:cat>
            <c:strRef>
              <c:f>Distributions!$M$21:$M$29</c:f>
              <c:strCache>
                <c:ptCount val="8"/>
                <c:pt idx="0">
                  <c:v>0-3 个月</c:v>
                </c:pt>
                <c:pt idx="1">
                  <c:v>3-6 个月</c:v>
                </c:pt>
                <c:pt idx="2">
                  <c:v>6-9 个月</c:v>
                </c:pt>
                <c:pt idx="3">
                  <c:v>9-12 个月</c:v>
                </c:pt>
                <c:pt idx="4">
                  <c:v>12-15 个月</c:v>
                </c:pt>
                <c:pt idx="5">
                  <c:v>15-18 个月</c:v>
                </c:pt>
                <c:pt idx="6">
                  <c:v>18-21 个月</c:v>
                </c:pt>
                <c:pt idx="7">
                  <c:v>21-24 个月</c:v>
                </c:pt>
              </c:strCache>
            </c:strRef>
          </c:cat>
          <c:val>
            <c:numRef>
              <c:f>Distributions!$P$21:$P$29</c:f>
              <c:numCache>
                <c:formatCode>#,##0_);\(#,##0\)</c:formatCode>
                <c:ptCount val="8"/>
                <c:pt idx="0">
                  <c:v>527505</c:v>
                </c:pt>
                <c:pt idx="1">
                  <c:v>251191</c:v>
                </c:pt>
                <c:pt idx="2">
                  <c:v>169240</c:v>
                </c:pt>
                <c:pt idx="3">
                  <c:v>204250</c:v>
                </c:pt>
                <c:pt idx="4">
                  <c:v>48052</c:v>
                </c:pt>
                <c:pt idx="5">
                  <c:v>51328</c:v>
                </c:pt>
                <c:pt idx="6">
                  <c:v>105760</c:v>
                </c:pt>
                <c:pt idx="7">
                  <c:v>111040</c:v>
                </c:pt>
              </c:numCache>
            </c:numRef>
          </c:val>
        </c:ser>
        <c:ser>
          <c:idx val="3"/>
          <c:order val="3"/>
          <c:tx>
            <c:strRef>
              <c:f>Distributions!$Q$20</c:f>
              <c:strCache>
                <c:ptCount val="1"/>
                <c:pt idx="0">
                  <c:v>贷款笔数占比</c:v>
                </c:pt>
              </c:strCache>
            </c:strRef>
          </c:tx>
          <c:spPr>
            <a:solidFill>
              <a:schemeClr val="accent4"/>
            </a:solidFill>
            <a:ln>
              <a:noFill/>
            </a:ln>
            <a:effectLst/>
          </c:spPr>
          <c:invertIfNegative val="0"/>
          <c:cat>
            <c:strRef>
              <c:f>Distributions!$M$21:$M$29</c:f>
              <c:strCache>
                <c:ptCount val="8"/>
                <c:pt idx="0">
                  <c:v>0-3 个月</c:v>
                </c:pt>
                <c:pt idx="1">
                  <c:v>3-6 个月</c:v>
                </c:pt>
                <c:pt idx="2">
                  <c:v>6-9 个月</c:v>
                </c:pt>
                <c:pt idx="3">
                  <c:v>9-12 个月</c:v>
                </c:pt>
                <c:pt idx="4">
                  <c:v>12-15 个月</c:v>
                </c:pt>
                <c:pt idx="5">
                  <c:v>15-18 个月</c:v>
                </c:pt>
                <c:pt idx="6">
                  <c:v>18-21 个月</c:v>
                </c:pt>
                <c:pt idx="7">
                  <c:v>21-24 个月</c:v>
                </c:pt>
              </c:strCache>
            </c:strRef>
          </c:cat>
          <c:val>
            <c:numRef>
              <c:f>Distributions!$Q$21:$Q$29</c:f>
              <c:numCache>
                <c:formatCode>0.00%</c:formatCode>
                <c:ptCount val="8"/>
                <c:pt idx="0">
                  <c:v>0.35924626421478023</c:v>
                </c:pt>
                <c:pt idx="1">
                  <c:v>0.17106838485772621</c:v>
                </c:pt>
                <c:pt idx="2">
                  <c:v>0.11525736771349922</c:v>
                </c:pt>
                <c:pt idx="3">
                  <c:v>0.13910019708982638</c:v>
                </c:pt>
                <c:pt idx="4">
                  <c:v>3.2724811116574479E-2</c:v>
                </c:pt>
                <c:pt idx="5">
                  <c:v>3.4955862502945453E-2</c:v>
                </c:pt>
                <c:pt idx="6">
                  <c:v>7.2025639384186227E-2</c:v>
                </c:pt>
                <c:pt idx="7">
                  <c:v>7.5621473120461788E-2</c:v>
                </c:pt>
              </c:numCache>
            </c:numRef>
          </c:val>
        </c:ser>
        <c:dLbls>
          <c:showLegendKey val="0"/>
          <c:showVal val="0"/>
          <c:showCatName val="0"/>
          <c:showSerName val="0"/>
          <c:showPercent val="0"/>
          <c:showBubbleSize val="0"/>
        </c:dLbls>
        <c:gapWidth val="219"/>
        <c:overlap val="-27"/>
        <c:axId val="233637616"/>
        <c:axId val="233646320"/>
      </c:barChart>
      <c:catAx>
        <c:axId val="233637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646320"/>
        <c:crosses val="autoZero"/>
        <c:auto val="1"/>
        <c:lblAlgn val="ctr"/>
        <c:lblOffset val="100"/>
        <c:noMultiLvlLbl val="0"/>
      </c:catAx>
      <c:valAx>
        <c:axId val="2336463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6376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Distributions!$T$20</c:f>
              <c:strCache>
                <c:ptCount val="1"/>
                <c:pt idx="0">
                  <c:v>本金余额</c:v>
                </c:pt>
              </c:strCache>
            </c:strRef>
          </c:tx>
          <c:spPr>
            <a:solidFill>
              <a:schemeClr val="accent1"/>
            </a:solidFill>
            <a:ln>
              <a:noFill/>
            </a:ln>
            <a:effectLst/>
          </c:spPr>
          <c:invertIfNegative val="0"/>
          <c:cat>
            <c:strRef>
              <c:f>Distributions!$S$21:$S$38</c:f>
              <c:strCache>
                <c:ptCount val="17"/>
                <c:pt idx="0">
                  <c:v>0（含）% - 0.1（不含）%</c:v>
                </c:pt>
                <c:pt idx="1">
                  <c:v>0.1（含）% - 0.2（不含）%</c:v>
                </c:pt>
                <c:pt idx="2">
                  <c:v>0.2（含）% - 0.3（不含）%</c:v>
                </c:pt>
                <c:pt idx="3">
                  <c:v>0.3（含）% - 0.4（不含）%</c:v>
                </c:pt>
                <c:pt idx="4">
                  <c:v>0.4（含）% - 0.5（不含）%</c:v>
                </c:pt>
                <c:pt idx="5">
                  <c:v>0.5（含）% - 0.6（不含）%</c:v>
                </c:pt>
                <c:pt idx="6">
                  <c:v>0.6（含）% - 0.7（不含）%</c:v>
                </c:pt>
                <c:pt idx="7">
                  <c:v>0.7（含）% - 0.8（不含）%</c:v>
                </c:pt>
                <c:pt idx="8">
                  <c:v>0.8（含）% - 0.9（不含）%</c:v>
                </c:pt>
                <c:pt idx="9">
                  <c:v>0.9（含）% - 1（不含）%</c:v>
                </c:pt>
                <c:pt idx="10">
                  <c:v>1（含）% - 1.1（不含）%</c:v>
                </c:pt>
                <c:pt idx="11">
                  <c:v>1.2（含）% - 1.3（不含）%</c:v>
                </c:pt>
                <c:pt idx="12">
                  <c:v>1.5（含）% - 1.6（不含）%</c:v>
                </c:pt>
                <c:pt idx="13">
                  <c:v>2.4（含）% - 2.5（不含）%</c:v>
                </c:pt>
                <c:pt idx="14">
                  <c:v>2.5（含）% - 2.6（不含）%</c:v>
                </c:pt>
                <c:pt idx="15">
                  <c:v>6（含）% - 6.1（不含）%</c:v>
                </c:pt>
                <c:pt idx="16">
                  <c:v>11.5（含）% - 11.6（不含）%</c:v>
                </c:pt>
              </c:strCache>
            </c:strRef>
          </c:cat>
          <c:val>
            <c:numRef>
              <c:f>Distributions!$T$21:$T$38</c:f>
              <c:numCache>
                <c:formatCode>[$¥-804]#,##0.00</c:formatCode>
                <c:ptCount val="17"/>
                <c:pt idx="0">
                  <c:v>323416669.40000528</c:v>
                </c:pt>
                <c:pt idx="1">
                  <c:v>56957.479999999967</c:v>
                </c:pt>
                <c:pt idx="2">
                  <c:v>4370800.76</c:v>
                </c:pt>
                <c:pt idx="3">
                  <c:v>3802018.9700000007</c:v>
                </c:pt>
                <c:pt idx="4">
                  <c:v>4158596.8300000033</c:v>
                </c:pt>
                <c:pt idx="5">
                  <c:v>290589605.02999896</c:v>
                </c:pt>
                <c:pt idx="6">
                  <c:v>16782890.789999999</c:v>
                </c:pt>
                <c:pt idx="7">
                  <c:v>23570031.579999998</c:v>
                </c:pt>
                <c:pt idx="8">
                  <c:v>10108218.309999999</c:v>
                </c:pt>
                <c:pt idx="9">
                  <c:v>84015.819999999992</c:v>
                </c:pt>
                <c:pt idx="10">
                  <c:v>14217839.080000002</c:v>
                </c:pt>
                <c:pt idx="11">
                  <c:v>2837.25</c:v>
                </c:pt>
                <c:pt idx="12">
                  <c:v>204</c:v>
                </c:pt>
                <c:pt idx="13">
                  <c:v>546.29999999999995</c:v>
                </c:pt>
                <c:pt idx="14">
                  <c:v>254.70000000000002</c:v>
                </c:pt>
                <c:pt idx="15">
                  <c:v>1161.7199999999998</c:v>
                </c:pt>
                <c:pt idx="16">
                  <c:v>402.27</c:v>
                </c:pt>
              </c:numCache>
            </c:numRef>
          </c:val>
        </c:ser>
        <c:ser>
          <c:idx val="1"/>
          <c:order val="1"/>
          <c:tx>
            <c:strRef>
              <c:f>Distributions!$U$20</c:f>
              <c:strCache>
                <c:ptCount val="1"/>
                <c:pt idx="0">
                  <c:v>本金余额占比</c:v>
                </c:pt>
              </c:strCache>
            </c:strRef>
          </c:tx>
          <c:spPr>
            <a:solidFill>
              <a:schemeClr val="accent2"/>
            </a:solidFill>
            <a:ln>
              <a:noFill/>
            </a:ln>
            <a:effectLst/>
          </c:spPr>
          <c:invertIfNegative val="0"/>
          <c:cat>
            <c:strRef>
              <c:f>Distributions!$S$21:$S$38</c:f>
              <c:strCache>
                <c:ptCount val="17"/>
                <c:pt idx="0">
                  <c:v>0（含）% - 0.1（不含）%</c:v>
                </c:pt>
                <c:pt idx="1">
                  <c:v>0.1（含）% - 0.2（不含）%</c:v>
                </c:pt>
                <c:pt idx="2">
                  <c:v>0.2（含）% - 0.3（不含）%</c:v>
                </c:pt>
                <c:pt idx="3">
                  <c:v>0.3（含）% - 0.4（不含）%</c:v>
                </c:pt>
                <c:pt idx="4">
                  <c:v>0.4（含）% - 0.5（不含）%</c:v>
                </c:pt>
                <c:pt idx="5">
                  <c:v>0.5（含）% - 0.6（不含）%</c:v>
                </c:pt>
                <c:pt idx="6">
                  <c:v>0.6（含）% - 0.7（不含）%</c:v>
                </c:pt>
                <c:pt idx="7">
                  <c:v>0.7（含）% - 0.8（不含）%</c:v>
                </c:pt>
                <c:pt idx="8">
                  <c:v>0.8（含）% - 0.9（不含）%</c:v>
                </c:pt>
                <c:pt idx="9">
                  <c:v>0.9（含）% - 1（不含）%</c:v>
                </c:pt>
                <c:pt idx="10">
                  <c:v>1（含）% - 1.1（不含）%</c:v>
                </c:pt>
                <c:pt idx="11">
                  <c:v>1.2（含）% - 1.3（不含）%</c:v>
                </c:pt>
                <c:pt idx="12">
                  <c:v>1.5（含）% - 1.6（不含）%</c:v>
                </c:pt>
                <c:pt idx="13">
                  <c:v>2.4（含）% - 2.5（不含）%</c:v>
                </c:pt>
                <c:pt idx="14">
                  <c:v>2.5（含）% - 2.6（不含）%</c:v>
                </c:pt>
                <c:pt idx="15">
                  <c:v>6（含）% - 6.1（不含）%</c:v>
                </c:pt>
                <c:pt idx="16">
                  <c:v>11.5（含）% - 11.6（不含）%</c:v>
                </c:pt>
              </c:strCache>
            </c:strRef>
          </c:cat>
          <c:val>
            <c:numRef>
              <c:f>Distributions!$U$21:$U$38</c:f>
              <c:numCache>
                <c:formatCode>0.00%</c:formatCode>
                <c:ptCount val="17"/>
                <c:pt idx="0">
                  <c:v>0.46793107540152862</c:v>
                </c:pt>
                <c:pt idx="1">
                  <c:v>8.240816689506297E-5</c:v>
                </c:pt>
                <c:pt idx="2">
                  <c:v>6.3238345252484536E-3</c:v>
                </c:pt>
                <c:pt idx="3">
                  <c:v>5.5009002121925981E-3</c:v>
                </c:pt>
                <c:pt idx="4">
                  <c:v>6.0168101119628245E-3</c:v>
                </c:pt>
                <c:pt idx="5">
                  <c:v>0.42043567709250129</c:v>
                </c:pt>
                <c:pt idx="6">
                  <c:v>2.4282100703962604E-2</c:v>
                </c:pt>
                <c:pt idx="7">
                  <c:v>3.4101984430605879E-2</c:v>
                </c:pt>
                <c:pt idx="8">
                  <c:v>1.4624940244937308E-2</c:v>
                </c:pt>
                <c:pt idx="9">
                  <c:v>1.2155716363128378E-4</c:v>
                </c:pt>
                <c:pt idx="10">
                  <c:v>2.0570890000607286E-2</c:v>
                </c:pt>
                <c:pt idx="11">
                  <c:v>4.1050371526798157E-6</c:v>
                </c:pt>
                <c:pt idx="12">
                  <c:v>2.9515466707081945E-7</c:v>
                </c:pt>
                <c:pt idx="13">
                  <c:v>7.9040683637641499E-7</c:v>
                </c:pt>
                <c:pt idx="14">
                  <c:v>3.6850928285753785E-7</c:v>
                </c:pt>
                <c:pt idx="15">
                  <c:v>1.680819018772119E-6</c:v>
                </c:pt>
                <c:pt idx="16">
                  <c:v>5.8201896040479668E-7</c:v>
                </c:pt>
              </c:numCache>
            </c:numRef>
          </c:val>
        </c:ser>
        <c:ser>
          <c:idx val="2"/>
          <c:order val="2"/>
          <c:tx>
            <c:strRef>
              <c:f>Distributions!$V$20</c:f>
              <c:strCache>
                <c:ptCount val="1"/>
                <c:pt idx="0">
                  <c:v>贷款笔数占比</c:v>
                </c:pt>
              </c:strCache>
            </c:strRef>
          </c:tx>
          <c:spPr>
            <a:solidFill>
              <a:schemeClr val="accent3"/>
            </a:solidFill>
            <a:ln>
              <a:noFill/>
            </a:ln>
            <a:effectLst/>
          </c:spPr>
          <c:invertIfNegative val="0"/>
          <c:cat>
            <c:strRef>
              <c:f>Distributions!$S$21:$S$38</c:f>
              <c:strCache>
                <c:ptCount val="17"/>
                <c:pt idx="0">
                  <c:v>0（含）% - 0.1（不含）%</c:v>
                </c:pt>
                <c:pt idx="1">
                  <c:v>0.1（含）% - 0.2（不含）%</c:v>
                </c:pt>
                <c:pt idx="2">
                  <c:v>0.2（含）% - 0.3（不含）%</c:v>
                </c:pt>
                <c:pt idx="3">
                  <c:v>0.3（含）% - 0.4（不含）%</c:v>
                </c:pt>
                <c:pt idx="4">
                  <c:v>0.4（含）% - 0.5（不含）%</c:v>
                </c:pt>
                <c:pt idx="5">
                  <c:v>0.5（含）% - 0.6（不含）%</c:v>
                </c:pt>
                <c:pt idx="6">
                  <c:v>0.6（含）% - 0.7（不含）%</c:v>
                </c:pt>
                <c:pt idx="7">
                  <c:v>0.7（含）% - 0.8（不含）%</c:v>
                </c:pt>
                <c:pt idx="8">
                  <c:v>0.8（含）% - 0.9（不含）%</c:v>
                </c:pt>
                <c:pt idx="9">
                  <c:v>0.9（含）% - 1（不含）%</c:v>
                </c:pt>
                <c:pt idx="10">
                  <c:v>1（含）% - 1.1（不含）%</c:v>
                </c:pt>
                <c:pt idx="11">
                  <c:v>1.2（含）% - 1.3（不含）%</c:v>
                </c:pt>
                <c:pt idx="12">
                  <c:v>1.5（含）% - 1.6（不含）%</c:v>
                </c:pt>
                <c:pt idx="13">
                  <c:v>2.4（含）% - 2.5（不含）%</c:v>
                </c:pt>
                <c:pt idx="14">
                  <c:v>2.5（含）% - 2.6（不含）%</c:v>
                </c:pt>
                <c:pt idx="15">
                  <c:v>6（含）% - 6.1（不含）%</c:v>
                </c:pt>
                <c:pt idx="16">
                  <c:v>11.5（含）% - 11.6（不含）%</c:v>
                </c:pt>
              </c:strCache>
            </c:strRef>
          </c:cat>
          <c:val>
            <c:numRef>
              <c:f>Distributions!$V$21:$V$38</c:f>
              <c:numCache>
                <c:formatCode>#,##0_);\(#,##0\)</c:formatCode>
                <c:ptCount val="17"/>
                <c:pt idx="0">
                  <c:v>686796</c:v>
                </c:pt>
                <c:pt idx="1">
                  <c:v>1192</c:v>
                </c:pt>
                <c:pt idx="2">
                  <c:v>9911</c:v>
                </c:pt>
                <c:pt idx="3">
                  <c:v>6322</c:v>
                </c:pt>
                <c:pt idx="4">
                  <c:v>23014</c:v>
                </c:pt>
                <c:pt idx="5">
                  <c:v>634386</c:v>
                </c:pt>
                <c:pt idx="6">
                  <c:v>20981</c:v>
                </c:pt>
                <c:pt idx="7">
                  <c:v>40961</c:v>
                </c:pt>
                <c:pt idx="8">
                  <c:v>16765</c:v>
                </c:pt>
                <c:pt idx="9">
                  <c:v>346</c:v>
                </c:pt>
                <c:pt idx="10">
                  <c:v>27662</c:v>
                </c:pt>
                <c:pt idx="11">
                  <c:v>9</c:v>
                </c:pt>
                <c:pt idx="12">
                  <c:v>3</c:v>
                </c:pt>
                <c:pt idx="13">
                  <c:v>3</c:v>
                </c:pt>
                <c:pt idx="14">
                  <c:v>3</c:v>
                </c:pt>
                <c:pt idx="15">
                  <c:v>9</c:v>
                </c:pt>
                <c:pt idx="16">
                  <c:v>3</c:v>
                </c:pt>
              </c:numCache>
            </c:numRef>
          </c:val>
        </c:ser>
        <c:ser>
          <c:idx val="3"/>
          <c:order val="3"/>
          <c:tx>
            <c:strRef>
              <c:f>Distributions!$W$20</c:f>
              <c:strCache>
                <c:ptCount val="1"/>
                <c:pt idx="0">
                  <c:v>贷款笔数占比</c:v>
                </c:pt>
              </c:strCache>
            </c:strRef>
          </c:tx>
          <c:spPr>
            <a:solidFill>
              <a:schemeClr val="accent4"/>
            </a:solidFill>
            <a:ln>
              <a:noFill/>
            </a:ln>
            <a:effectLst/>
          </c:spPr>
          <c:invertIfNegative val="0"/>
          <c:cat>
            <c:strRef>
              <c:f>Distributions!$S$21:$S$38</c:f>
              <c:strCache>
                <c:ptCount val="17"/>
                <c:pt idx="0">
                  <c:v>0（含）% - 0.1（不含）%</c:v>
                </c:pt>
                <c:pt idx="1">
                  <c:v>0.1（含）% - 0.2（不含）%</c:v>
                </c:pt>
                <c:pt idx="2">
                  <c:v>0.2（含）% - 0.3（不含）%</c:v>
                </c:pt>
                <c:pt idx="3">
                  <c:v>0.3（含）% - 0.4（不含）%</c:v>
                </c:pt>
                <c:pt idx="4">
                  <c:v>0.4（含）% - 0.5（不含）%</c:v>
                </c:pt>
                <c:pt idx="5">
                  <c:v>0.5（含）% - 0.6（不含）%</c:v>
                </c:pt>
                <c:pt idx="6">
                  <c:v>0.6（含）% - 0.7（不含）%</c:v>
                </c:pt>
                <c:pt idx="7">
                  <c:v>0.7（含）% - 0.8（不含）%</c:v>
                </c:pt>
                <c:pt idx="8">
                  <c:v>0.8（含）% - 0.9（不含）%</c:v>
                </c:pt>
                <c:pt idx="9">
                  <c:v>0.9（含）% - 1（不含）%</c:v>
                </c:pt>
                <c:pt idx="10">
                  <c:v>1（含）% - 1.1（不含）%</c:v>
                </c:pt>
                <c:pt idx="11">
                  <c:v>1.2（含）% - 1.3（不含）%</c:v>
                </c:pt>
                <c:pt idx="12">
                  <c:v>1.5（含）% - 1.6（不含）%</c:v>
                </c:pt>
                <c:pt idx="13">
                  <c:v>2.4（含）% - 2.5（不含）%</c:v>
                </c:pt>
                <c:pt idx="14">
                  <c:v>2.5（含）% - 2.6（不含）%</c:v>
                </c:pt>
                <c:pt idx="15">
                  <c:v>6（含）% - 6.1（不含）%</c:v>
                </c:pt>
                <c:pt idx="16">
                  <c:v>11.5（含）% - 11.6（不含）%</c:v>
                </c:pt>
              </c:strCache>
            </c:strRef>
          </c:cat>
          <c:val>
            <c:numRef>
              <c:f>Distributions!$W$21:$W$38</c:f>
              <c:numCache>
                <c:formatCode>0.00%</c:formatCode>
                <c:ptCount val="17"/>
                <c:pt idx="0">
                  <c:v>0.46772807324604354</c:v>
                </c:pt>
                <c:pt idx="1">
                  <c:v>8.1178670712887661E-4</c:v>
                </c:pt>
                <c:pt idx="2">
                  <c:v>6.749679575800584E-3</c:v>
                </c:pt>
                <c:pt idx="3">
                  <c:v>4.3054660758966093E-3</c:v>
                </c:pt>
                <c:pt idx="4">
                  <c:v>1.5673204092167756E-2</c:v>
                </c:pt>
                <c:pt idx="5">
                  <c:v>0.43203533723880833</c:v>
                </c:pt>
                <c:pt idx="6">
                  <c:v>1.4288671897878321E-2</c:v>
                </c:pt>
                <c:pt idx="7">
                  <c:v>2.7895633649921068E-2</c:v>
                </c:pt>
                <c:pt idx="8">
                  <c:v>1.1417453141791625E-2</c:v>
                </c:pt>
                <c:pt idx="9">
                  <c:v>2.3563607438472424E-4</c:v>
                </c:pt>
                <c:pt idx="10">
                  <c:v>1.8838627426676999E-2</c:v>
                </c:pt>
                <c:pt idx="11">
                  <c:v>6.1292620504697061E-6</c:v>
                </c:pt>
                <c:pt idx="12">
                  <c:v>2.0430873501565686E-6</c:v>
                </c:pt>
                <c:pt idx="13">
                  <c:v>2.0430873501565686E-6</c:v>
                </c:pt>
                <c:pt idx="14">
                  <c:v>2.0430873501565686E-6</c:v>
                </c:pt>
                <c:pt idx="15">
                  <c:v>6.1292620504697061E-6</c:v>
                </c:pt>
                <c:pt idx="16">
                  <c:v>2.0430873501565686E-6</c:v>
                </c:pt>
              </c:numCache>
            </c:numRef>
          </c:val>
        </c:ser>
        <c:dLbls>
          <c:showLegendKey val="0"/>
          <c:showVal val="0"/>
          <c:showCatName val="0"/>
          <c:showSerName val="0"/>
          <c:showPercent val="0"/>
          <c:showBubbleSize val="0"/>
        </c:dLbls>
        <c:gapWidth val="219"/>
        <c:overlap val="-27"/>
        <c:axId val="233637072"/>
        <c:axId val="233644144"/>
      </c:barChart>
      <c:catAx>
        <c:axId val="233637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644144"/>
        <c:crosses val="autoZero"/>
        <c:auto val="1"/>
        <c:lblAlgn val="ctr"/>
        <c:lblOffset val="100"/>
        <c:noMultiLvlLbl val="0"/>
      </c:catAx>
      <c:valAx>
        <c:axId val="2336441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637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Distributions!$Z$20</c:f>
              <c:strCache>
                <c:ptCount val="1"/>
                <c:pt idx="0">
                  <c:v>本金余额</c:v>
                </c:pt>
              </c:strCache>
            </c:strRef>
          </c:tx>
          <c:spPr>
            <a:solidFill>
              <a:schemeClr val="accent1"/>
            </a:solidFill>
            <a:ln>
              <a:noFill/>
            </a:ln>
            <a:effectLst/>
          </c:spPr>
          <c:invertIfNegative val="0"/>
          <c:cat>
            <c:strRef>
              <c:f>Distributions!$Y$21:$Y$40</c:f>
              <c:strCache>
                <c:ptCount val="19"/>
                <c:pt idx="0">
                  <c:v>0元 - 1000元</c:v>
                </c:pt>
                <c:pt idx="1">
                  <c:v>1000元 - 2000元</c:v>
                </c:pt>
                <c:pt idx="2">
                  <c:v>2000元 - 3000元</c:v>
                </c:pt>
                <c:pt idx="3">
                  <c:v>3000元 - 4000元</c:v>
                </c:pt>
                <c:pt idx="4">
                  <c:v>4000元 - 5000元</c:v>
                </c:pt>
                <c:pt idx="5">
                  <c:v>5000元 - 6000元</c:v>
                </c:pt>
                <c:pt idx="6">
                  <c:v>6000元 - 7000元</c:v>
                </c:pt>
                <c:pt idx="7">
                  <c:v>7000元 - 8000元</c:v>
                </c:pt>
                <c:pt idx="8">
                  <c:v>8000元 - 9000元</c:v>
                </c:pt>
                <c:pt idx="9">
                  <c:v>9000元 - 10000元</c:v>
                </c:pt>
                <c:pt idx="10">
                  <c:v>10000元 - 11000元</c:v>
                </c:pt>
                <c:pt idx="11">
                  <c:v>11000元 - 12000元</c:v>
                </c:pt>
                <c:pt idx="12">
                  <c:v>12000元 - 13000元</c:v>
                </c:pt>
                <c:pt idx="13">
                  <c:v>13000元 - 14000元</c:v>
                </c:pt>
                <c:pt idx="14">
                  <c:v>14000元 - 15000元</c:v>
                </c:pt>
                <c:pt idx="15">
                  <c:v>15000元 - 16000元</c:v>
                </c:pt>
                <c:pt idx="16">
                  <c:v>16000元 - 17000元</c:v>
                </c:pt>
                <c:pt idx="17">
                  <c:v>17000元 - 18000元</c:v>
                </c:pt>
                <c:pt idx="18">
                  <c:v>19000元 - 20000元</c:v>
                </c:pt>
              </c:strCache>
            </c:strRef>
          </c:cat>
          <c:val>
            <c:numRef>
              <c:f>Distributions!$Z$21:$Z$40</c:f>
              <c:numCache>
                <c:formatCode>[$¥-804]#,##0.00</c:formatCode>
                <c:ptCount val="19"/>
                <c:pt idx="0">
                  <c:v>229206356.24000069</c:v>
                </c:pt>
                <c:pt idx="1">
                  <c:v>142813869.17000014</c:v>
                </c:pt>
                <c:pt idx="2">
                  <c:v>115178184.15999998</c:v>
                </c:pt>
                <c:pt idx="3">
                  <c:v>77929534.26000002</c:v>
                </c:pt>
                <c:pt idx="4">
                  <c:v>60693498.590000026</c:v>
                </c:pt>
                <c:pt idx="5">
                  <c:v>43725041.220000006</c:v>
                </c:pt>
                <c:pt idx="6">
                  <c:v>11195908.080000002</c:v>
                </c:pt>
                <c:pt idx="7">
                  <c:v>4198813.47</c:v>
                </c:pt>
                <c:pt idx="8">
                  <c:v>1996543.73</c:v>
                </c:pt>
                <c:pt idx="9">
                  <c:v>1884799.9900000002</c:v>
                </c:pt>
                <c:pt idx="10">
                  <c:v>820897.15</c:v>
                </c:pt>
                <c:pt idx="11">
                  <c:v>403003.07</c:v>
                </c:pt>
                <c:pt idx="12">
                  <c:v>289080.67000000004</c:v>
                </c:pt>
                <c:pt idx="13">
                  <c:v>270448.08999999997</c:v>
                </c:pt>
                <c:pt idx="14">
                  <c:v>294541.39999999997</c:v>
                </c:pt>
                <c:pt idx="15">
                  <c:v>76504</c:v>
                </c:pt>
                <c:pt idx="16">
                  <c:v>33980</c:v>
                </c:pt>
                <c:pt idx="17">
                  <c:v>53361</c:v>
                </c:pt>
                <c:pt idx="18">
                  <c:v>98686</c:v>
                </c:pt>
              </c:numCache>
            </c:numRef>
          </c:val>
        </c:ser>
        <c:ser>
          <c:idx val="1"/>
          <c:order val="1"/>
          <c:tx>
            <c:strRef>
              <c:f>Distributions!$AA$20</c:f>
              <c:strCache>
                <c:ptCount val="1"/>
                <c:pt idx="0">
                  <c:v>本金余额占比</c:v>
                </c:pt>
              </c:strCache>
            </c:strRef>
          </c:tx>
          <c:spPr>
            <a:solidFill>
              <a:schemeClr val="accent2"/>
            </a:solidFill>
            <a:ln>
              <a:noFill/>
            </a:ln>
            <a:effectLst/>
          </c:spPr>
          <c:invertIfNegative val="0"/>
          <c:cat>
            <c:strRef>
              <c:f>Distributions!$Y$21:$Y$40</c:f>
              <c:strCache>
                <c:ptCount val="19"/>
                <c:pt idx="0">
                  <c:v>0元 - 1000元</c:v>
                </c:pt>
                <c:pt idx="1">
                  <c:v>1000元 - 2000元</c:v>
                </c:pt>
                <c:pt idx="2">
                  <c:v>2000元 - 3000元</c:v>
                </c:pt>
                <c:pt idx="3">
                  <c:v>3000元 - 4000元</c:v>
                </c:pt>
                <c:pt idx="4">
                  <c:v>4000元 - 5000元</c:v>
                </c:pt>
                <c:pt idx="5">
                  <c:v>5000元 - 6000元</c:v>
                </c:pt>
                <c:pt idx="6">
                  <c:v>6000元 - 7000元</c:v>
                </c:pt>
                <c:pt idx="7">
                  <c:v>7000元 - 8000元</c:v>
                </c:pt>
                <c:pt idx="8">
                  <c:v>8000元 - 9000元</c:v>
                </c:pt>
                <c:pt idx="9">
                  <c:v>9000元 - 10000元</c:v>
                </c:pt>
                <c:pt idx="10">
                  <c:v>10000元 - 11000元</c:v>
                </c:pt>
                <c:pt idx="11">
                  <c:v>11000元 - 12000元</c:v>
                </c:pt>
                <c:pt idx="12">
                  <c:v>12000元 - 13000元</c:v>
                </c:pt>
                <c:pt idx="13">
                  <c:v>13000元 - 14000元</c:v>
                </c:pt>
                <c:pt idx="14">
                  <c:v>14000元 - 15000元</c:v>
                </c:pt>
                <c:pt idx="15">
                  <c:v>15000元 - 16000元</c:v>
                </c:pt>
                <c:pt idx="16">
                  <c:v>16000元 - 17000元</c:v>
                </c:pt>
                <c:pt idx="17">
                  <c:v>17000元 - 18000元</c:v>
                </c:pt>
                <c:pt idx="18">
                  <c:v>19000元 - 20000元</c:v>
                </c:pt>
              </c:strCache>
            </c:strRef>
          </c:cat>
          <c:val>
            <c:numRef>
              <c:f>Distributions!$AA$21:$AA$40</c:f>
              <c:numCache>
                <c:formatCode>0.00%</c:formatCode>
                <c:ptCount val="19"/>
                <c:pt idx="0">
                  <c:v>0.33162414591437767</c:v>
                </c:pt>
                <c:pt idx="1">
                  <c:v>0.20662833337238704</c:v>
                </c:pt>
                <c:pt idx="2">
                  <c:v>0.16664401274297216</c:v>
                </c:pt>
                <c:pt idx="3">
                  <c:v>0.11275130264458001</c:v>
                </c:pt>
                <c:pt idx="4">
                  <c:v>8.7813575341640721E-2</c:v>
                </c:pt>
                <c:pt idx="5">
                  <c:v>6.326299011738705E-2</c:v>
                </c:pt>
                <c:pt idx="6">
                  <c:v>1.6198649617195578E-2</c:v>
                </c:pt>
                <c:pt idx="7">
                  <c:v>6.0749970187760887E-3</c:v>
                </c:pt>
                <c:pt idx="8">
                  <c:v>2.888672548629814E-3</c:v>
                </c:pt>
                <c:pt idx="9">
                  <c:v>2.72699761540948E-3</c:v>
                </c:pt>
                <c:pt idx="10">
                  <c:v>1.1877040441550712E-3</c:v>
                </c:pt>
                <c:pt idx="11">
                  <c:v>5.8307959291356939E-4</c:v>
                </c:pt>
                <c:pt idx="12">
                  <c:v>4.1825249465911486E-4</c:v>
                </c:pt>
                <c:pt idx="13">
                  <c:v>3.9129419590141671E-4</c:v>
                </c:pt>
                <c:pt idx="14">
                  <c:v>4.2615327870378946E-4</c:v>
                </c:pt>
                <c:pt idx="15">
                  <c:v>1.1068878749797045E-4</c:v>
                </c:pt>
                <c:pt idx="16">
                  <c:v>4.9163507779737471E-5</c:v>
                </c:pt>
                <c:pt idx="17">
                  <c:v>7.7204647988068613E-5</c:v>
                </c:pt>
                <c:pt idx="18">
                  <c:v>1.4278251703211218E-4</c:v>
                </c:pt>
              </c:numCache>
            </c:numRef>
          </c:val>
        </c:ser>
        <c:ser>
          <c:idx val="2"/>
          <c:order val="2"/>
          <c:tx>
            <c:strRef>
              <c:f>Distributions!$AB$20</c:f>
              <c:strCache>
                <c:ptCount val="1"/>
                <c:pt idx="0">
                  <c:v>贷款笔数占比</c:v>
                </c:pt>
              </c:strCache>
            </c:strRef>
          </c:tx>
          <c:spPr>
            <a:solidFill>
              <a:schemeClr val="accent3"/>
            </a:solidFill>
            <a:ln>
              <a:noFill/>
            </a:ln>
            <a:effectLst/>
          </c:spPr>
          <c:invertIfNegative val="0"/>
          <c:cat>
            <c:strRef>
              <c:f>Distributions!$Y$21:$Y$40</c:f>
              <c:strCache>
                <c:ptCount val="19"/>
                <c:pt idx="0">
                  <c:v>0元 - 1000元</c:v>
                </c:pt>
                <c:pt idx="1">
                  <c:v>1000元 - 2000元</c:v>
                </c:pt>
                <c:pt idx="2">
                  <c:v>2000元 - 3000元</c:v>
                </c:pt>
                <c:pt idx="3">
                  <c:v>3000元 - 4000元</c:v>
                </c:pt>
                <c:pt idx="4">
                  <c:v>4000元 - 5000元</c:v>
                </c:pt>
                <c:pt idx="5">
                  <c:v>5000元 - 6000元</c:v>
                </c:pt>
                <c:pt idx="6">
                  <c:v>6000元 - 7000元</c:v>
                </c:pt>
                <c:pt idx="7">
                  <c:v>7000元 - 8000元</c:v>
                </c:pt>
                <c:pt idx="8">
                  <c:v>8000元 - 9000元</c:v>
                </c:pt>
                <c:pt idx="9">
                  <c:v>9000元 - 10000元</c:v>
                </c:pt>
                <c:pt idx="10">
                  <c:v>10000元 - 11000元</c:v>
                </c:pt>
                <c:pt idx="11">
                  <c:v>11000元 - 12000元</c:v>
                </c:pt>
                <c:pt idx="12">
                  <c:v>12000元 - 13000元</c:v>
                </c:pt>
                <c:pt idx="13">
                  <c:v>13000元 - 14000元</c:v>
                </c:pt>
                <c:pt idx="14">
                  <c:v>14000元 - 15000元</c:v>
                </c:pt>
                <c:pt idx="15">
                  <c:v>15000元 - 16000元</c:v>
                </c:pt>
                <c:pt idx="16">
                  <c:v>16000元 - 17000元</c:v>
                </c:pt>
                <c:pt idx="17">
                  <c:v>17000元 - 18000元</c:v>
                </c:pt>
                <c:pt idx="18">
                  <c:v>19000元 - 20000元</c:v>
                </c:pt>
              </c:strCache>
            </c:strRef>
          </c:cat>
          <c:val>
            <c:numRef>
              <c:f>Distributions!$AB$21:$AB$40</c:f>
              <c:numCache>
                <c:formatCode>#,##0_);\(#,##0\)</c:formatCode>
                <c:ptCount val="19"/>
                <c:pt idx="0">
                  <c:v>1274427</c:v>
                </c:pt>
                <c:pt idx="1">
                  <c:v>99778</c:v>
                </c:pt>
                <c:pt idx="2">
                  <c:v>47077</c:v>
                </c:pt>
                <c:pt idx="3">
                  <c:v>22559</c:v>
                </c:pt>
                <c:pt idx="4">
                  <c:v>13498</c:v>
                </c:pt>
                <c:pt idx="5">
                  <c:v>8079</c:v>
                </c:pt>
                <c:pt idx="6">
                  <c:v>1765</c:v>
                </c:pt>
                <c:pt idx="7">
                  <c:v>559</c:v>
                </c:pt>
                <c:pt idx="8">
                  <c:v>236</c:v>
                </c:pt>
                <c:pt idx="9">
                  <c:v>196</c:v>
                </c:pt>
                <c:pt idx="10">
                  <c:v>79</c:v>
                </c:pt>
                <c:pt idx="11">
                  <c:v>35</c:v>
                </c:pt>
                <c:pt idx="12">
                  <c:v>23</c:v>
                </c:pt>
                <c:pt idx="13">
                  <c:v>20</c:v>
                </c:pt>
                <c:pt idx="14">
                  <c:v>20</c:v>
                </c:pt>
                <c:pt idx="15">
                  <c:v>5</c:v>
                </c:pt>
                <c:pt idx="16">
                  <c:v>2</c:v>
                </c:pt>
                <c:pt idx="17">
                  <c:v>3</c:v>
                </c:pt>
                <c:pt idx="18">
                  <c:v>5</c:v>
                </c:pt>
              </c:numCache>
            </c:numRef>
          </c:val>
        </c:ser>
        <c:ser>
          <c:idx val="3"/>
          <c:order val="3"/>
          <c:tx>
            <c:strRef>
              <c:f>Distributions!$AC$20</c:f>
              <c:strCache>
                <c:ptCount val="1"/>
                <c:pt idx="0">
                  <c:v>贷款笔数占比</c:v>
                </c:pt>
              </c:strCache>
            </c:strRef>
          </c:tx>
          <c:spPr>
            <a:solidFill>
              <a:schemeClr val="accent4"/>
            </a:solidFill>
            <a:ln>
              <a:noFill/>
            </a:ln>
            <a:effectLst/>
          </c:spPr>
          <c:invertIfNegative val="0"/>
          <c:cat>
            <c:strRef>
              <c:f>Distributions!$Y$21:$Y$40</c:f>
              <c:strCache>
                <c:ptCount val="19"/>
                <c:pt idx="0">
                  <c:v>0元 - 1000元</c:v>
                </c:pt>
                <c:pt idx="1">
                  <c:v>1000元 - 2000元</c:v>
                </c:pt>
                <c:pt idx="2">
                  <c:v>2000元 - 3000元</c:v>
                </c:pt>
                <c:pt idx="3">
                  <c:v>3000元 - 4000元</c:v>
                </c:pt>
                <c:pt idx="4">
                  <c:v>4000元 - 5000元</c:v>
                </c:pt>
                <c:pt idx="5">
                  <c:v>5000元 - 6000元</c:v>
                </c:pt>
                <c:pt idx="6">
                  <c:v>6000元 - 7000元</c:v>
                </c:pt>
                <c:pt idx="7">
                  <c:v>7000元 - 8000元</c:v>
                </c:pt>
                <c:pt idx="8">
                  <c:v>8000元 - 9000元</c:v>
                </c:pt>
                <c:pt idx="9">
                  <c:v>9000元 - 10000元</c:v>
                </c:pt>
                <c:pt idx="10">
                  <c:v>10000元 - 11000元</c:v>
                </c:pt>
                <c:pt idx="11">
                  <c:v>11000元 - 12000元</c:v>
                </c:pt>
                <c:pt idx="12">
                  <c:v>12000元 - 13000元</c:v>
                </c:pt>
                <c:pt idx="13">
                  <c:v>13000元 - 14000元</c:v>
                </c:pt>
                <c:pt idx="14">
                  <c:v>14000元 - 15000元</c:v>
                </c:pt>
                <c:pt idx="15">
                  <c:v>15000元 - 16000元</c:v>
                </c:pt>
                <c:pt idx="16">
                  <c:v>16000元 - 17000元</c:v>
                </c:pt>
                <c:pt idx="17">
                  <c:v>17000元 - 18000元</c:v>
                </c:pt>
                <c:pt idx="18">
                  <c:v>19000元 - 20000元</c:v>
                </c:pt>
              </c:strCache>
            </c:strRef>
          </c:cat>
          <c:val>
            <c:numRef>
              <c:f>Distributions!$AC$21:$AC$40</c:f>
              <c:numCache>
                <c:formatCode>0.00%</c:formatCode>
                <c:ptCount val="19"/>
                <c:pt idx="0">
                  <c:v>0.86792189413266174</c:v>
                </c:pt>
                <c:pt idx="1">
                  <c:v>6.7951723207974032E-2</c:v>
                </c:pt>
                <c:pt idx="2">
                  <c:v>3.2060807727773595E-2</c:v>
                </c:pt>
                <c:pt idx="3">
                  <c:v>1.5363335844060678E-2</c:v>
                </c:pt>
                <c:pt idx="4">
                  <c:v>9.1925310174711203E-3</c:v>
                </c:pt>
                <c:pt idx="5">
                  <c:v>5.5020342339716392E-3</c:v>
                </c:pt>
                <c:pt idx="6">
                  <c:v>1.2020163910087811E-3</c:v>
                </c:pt>
                <c:pt idx="7">
                  <c:v>3.8069527624584061E-4</c:v>
                </c:pt>
                <c:pt idx="8">
                  <c:v>1.6072287154565007E-4</c:v>
                </c:pt>
                <c:pt idx="9">
                  <c:v>1.3348170687689582E-4</c:v>
                </c:pt>
                <c:pt idx="10">
                  <c:v>5.3801300220789637E-5</c:v>
                </c:pt>
                <c:pt idx="11">
                  <c:v>2.3836019085159966E-5</c:v>
                </c:pt>
                <c:pt idx="12">
                  <c:v>1.5663669684533694E-5</c:v>
                </c:pt>
                <c:pt idx="13">
                  <c:v>1.3620582334377124E-5</c:v>
                </c:pt>
                <c:pt idx="14">
                  <c:v>1.3620582334377124E-5</c:v>
                </c:pt>
                <c:pt idx="15">
                  <c:v>3.4051455835942809E-6</c:v>
                </c:pt>
                <c:pt idx="16">
                  <c:v>1.3620582334377124E-6</c:v>
                </c:pt>
                <c:pt idx="17">
                  <c:v>2.0430873501565686E-6</c:v>
                </c:pt>
                <c:pt idx="18">
                  <c:v>3.4051455835942809E-6</c:v>
                </c:pt>
              </c:numCache>
            </c:numRef>
          </c:val>
        </c:ser>
        <c:dLbls>
          <c:showLegendKey val="0"/>
          <c:showVal val="0"/>
          <c:showCatName val="0"/>
          <c:showSerName val="0"/>
          <c:showPercent val="0"/>
          <c:showBubbleSize val="0"/>
        </c:dLbls>
        <c:gapWidth val="219"/>
        <c:overlap val="-27"/>
        <c:axId val="233635440"/>
        <c:axId val="233639792"/>
      </c:barChart>
      <c:catAx>
        <c:axId val="233635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639792"/>
        <c:crosses val="autoZero"/>
        <c:auto val="1"/>
        <c:lblAlgn val="ctr"/>
        <c:lblOffset val="100"/>
        <c:noMultiLvlLbl val="0"/>
      </c:catAx>
      <c:valAx>
        <c:axId val="2336397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635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[PoolBase_Template.xlsm]Distributions!ptDistFiveClass</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Distributions!$AE$20</c:f>
              <c:strCache>
                <c:ptCount val="1"/>
                <c:pt idx="0">
                  <c:v>本金余额</c:v>
                </c:pt>
              </c:strCache>
            </c:strRef>
          </c:tx>
          <c:spPr>
            <a:solidFill>
              <a:schemeClr val="accent1"/>
            </a:solidFill>
            <a:ln>
              <a:noFill/>
            </a:ln>
            <a:effectLst/>
          </c:spPr>
          <c:invertIfNegative val="0"/>
          <c:cat>
            <c:strRef>
              <c:f>Distributions!$AE$21</c:f>
              <c:strCache>
                <c:ptCount val="1"/>
                <c:pt idx="0">
                  <c:v>汇总</c:v>
                </c:pt>
              </c:strCache>
            </c:strRef>
          </c:cat>
          <c:val>
            <c:numRef>
              <c:f>Distributions!$AE$21</c:f>
              <c:numCache>
                <c:formatCode>[$¥-804]#,##0.00</c:formatCode>
                <c:ptCount val="1"/>
                <c:pt idx="0">
                  <c:v>691163050.29001021</c:v>
                </c:pt>
              </c:numCache>
            </c:numRef>
          </c:val>
        </c:ser>
        <c:ser>
          <c:idx val="1"/>
          <c:order val="1"/>
          <c:tx>
            <c:strRef>
              <c:f>Distributions!$AF$20</c:f>
              <c:strCache>
                <c:ptCount val="1"/>
                <c:pt idx="0">
                  <c:v>本金余额占比</c:v>
                </c:pt>
              </c:strCache>
            </c:strRef>
          </c:tx>
          <c:spPr>
            <a:solidFill>
              <a:schemeClr val="accent2"/>
            </a:solidFill>
            <a:ln>
              <a:noFill/>
            </a:ln>
            <a:effectLst/>
          </c:spPr>
          <c:invertIfNegative val="0"/>
          <c:cat>
            <c:strRef>
              <c:f>Distributions!$AE$21</c:f>
              <c:strCache>
                <c:ptCount val="1"/>
                <c:pt idx="0">
                  <c:v>汇总</c:v>
                </c:pt>
              </c:strCache>
            </c:strRef>
          </c:cat>
          <c:val>
            <c:numRef>
              <c:f>Distributions!$AF$21</c:f>
              <c:numCache>
                <c:formatCode>0.00%</c:formatCode>
                <c:ptCount val="1"/>
                <c:pt idx="0">
                  <c:v>1</c:v>
                </c:pt>
              </c:numCache>
            </c:numRef>
          </c:val>
        </c:ser>
        <c:ser>
          <c:idx val="2"/>
          <c:order val="2"/>
          <c:tx>
            <c:strRef>
              <c:f>Distributions!$AG$20</c:f>
              <c:strCache>
                <c:ptCount val="1"/>
                <c:pt idx="0">
                  <c:v>贷款笔数占比</c:v>
                </c:pt>
              </c:strCache>
            </c:strRef>
          </c:tx>
          <c:spPr>
            <a:solidFill>
              <a:schemeClr val="accent3"/>
            </a:solidFill>
            <a:ln>
              <a:noFill/>
            </a:ln>
            <a:effectLst/>
          </c:spPr>
          <c:invertIfNegative val="0"/>
          <c:cat>
            <c:strRef>
              <c:f>Distributions!$AE$21</c:f>
              <c:strCache>
                <c:ptCount val="1"/>
                <c:pt idx="0">
                  <c:v>汇总</c:v>
                </c:pt>
              </c:strCache>
            </c:strRef>
          </c:cat>
          <c:val>
            <c:numRef>
              <c:f>Distributions!$AG$21</c:f>
              <c:numCache>
                <c:formatCode>#,##0_);\(#,##0\)</c:formatCode>
                <c:ptCount val="1"/>
                <c:pt idx="0">
                  <c:v>1468366</c:v>
                </c:pt>
              </c:numCache>
            </c:numRef>
          </c:val>
        </c:ser>
        <c:ser>
          <c:idx val="3"/>
          <c:order val="3"/>
          <c:tx>
            <c:strRef>
              <c:f>Distributions!$AH$20</c:f>
              <c:strCache>
                <c:ptCount val="1"/>
                <c:pt idx="0">
                  <c:v>贷款笔数占比</c:v>
                </c:pt>
              </c:strCache>
            </c:strRef>
          </c:tx>
          <c:spPr>
            <a:solidFill>
              <a:schemeClr val="accent4"/>
            </a:solidFill>
            <a:ln>
              <a:noFill/>
            </a:ln>
            <a:effectLst/>
          </c:spPr>
          <c:invertIfNegative val="0"/>
          <c:cat>
            <c:strRef>
              <c:f>Distributions!$AE$21</c:f>
              <c:strCache>
                <c:ptCount val="1"/>
                <c:pt idx="0">
                  <c:v>汇总</c:v>
                </c:pt>
              </c:strCache>
            </c:strRef>
          </c:cat>
          <c:val>
            <c:numRef>
              <c:f>Distributions!$AH$21</c:f>
              <c:numCache>
                <c:formatCode>0.00%</c:formatCode>
                <c:ptCount val="1"/>
                <c:pt idx="0">
                  <c:v>1</c:v>
                </c:pt>
              </c:numCache>
            </c:numRef>
          </c:val>
        </c:ser>
        <c:dLbls>
          <c:showLegendKey val="0"/>
          <c:showVal val="0"/>
          <c:showCatName val="0"/>
          <c:showSerName val="0"/>
          <c:showPercent val="0"/>
          <c:showBubbleSize val="0"/>
        </c:dLbls>
        <c:gapWidth val="219"/>
        <c:overlap val="-27"/>
        <c:axId val="233639248"/>
        <c:axId val="233640880"/>
      </c:barChart>
      <c:catAx>
        <c:axId val="233639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640880"/>
        <c:crosses val="autoZero"/>
        <c:auto val="1"/>
        <c:lblAlgn val="ctr"/>
        <c:lblOffset val="100"/>
        <c:noMultiLvlLbl val="0"/>
      </c:catAx>
      <c:valAx>
        <c:axId val="2336408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639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Distributions!$AK$20</c:f>
              <c:strCache>
                <c:ptCount val="1"/>
                <c:pt idx="0">
                  <c:v>本金余额</c:v>
                </c:pt>
              </c:strCache>
            </c:strRef>
          </c:tx>
          <c:spPr>
            <a:solidFill>
              <a:schemeClr val="accent1"/>
            </a:solidFill>
            <a:ln>
              <a:noFill/>
            </a:ln>
            <a:effectLst/>
          </c:spPr>
          <c:invertIfNegative val="0"/>
          <c:cat>
            <c:strRef>
              <c:f>Distributions!$AK$21</c:f>
              <c:strCache>
                <c:ptCount val="1"/>
                <c:pt idx="0">
                  <c:v>汇总</c:v>
                </c:pt>
              </c:strCache>
            </c:strRef>
          </c:cat>
          <c:val>
            <c:numRef>
              <c:f>Distributions!$AK$21</c:f>
              <c:numCache>
                <c:formatCode>[$¥-804]#,##0.00</c:formatCode>
                <c:ptCount val="1"/>
                <c:pt idx="0">
                  <c:v>691163050.29001021</c:v>
                </c:pt>
              </c:numCache>
            </c:numRef>
          </c:val>
        </c:ser>
        <c:ser>
          <c:idx val="1"/>
          <c:order val="1"/>
          <c:tx>
            <c:strRef>
              <c:f>Distributions!$AL$20</c:f>
              <c:strCache>
                <c:ptCount val="1"/>
                <c:pt idx="0">
                  <c:v>本金余额占比</c:v>
                </c:pt>
              </c:strCache>
            </c:strRef>
          </c:tx>
          <c:spPr>
            <a:solidFill>
              <a:schemeClr val="accent2"/>
            </a:solidFill>
            <a:ln>
              <a:noFill/>
            </a:ln>
            <a:effectLst/>
          </c:spPr>
          <c:invertIfNegative val="0"/>
          <c:cat>
            <c:strRef>
              <c:f>Distributions!$AK$21</c:f>
              <c:strCache>
                <c:ptCount val="1"/>
                <c:pt idx="0">
                  <c:v>汇总</c:v>
                </c:pt>
              </c:strCache>
            </c:strRef>
          </c:cat>
          <c:val>
            <c:numRef>
              <c:f>Distributions!$AL$21</c:f>
              <c:numCache>
                <c:formatCode>0.00%</c:formatCode>
                <c:ptCount val="1"/>
                <c:pt idx="0">
                  <c:v>1</c:v>
                </c:pt>
              </c:numCache>
            </c:numRef>
          </c:val>
        </c:ser>
        <c:ser>
          <c:idx val="2"/>
          <c:order val="2"/>
          <c:tx>
            <c:strRef>
              <c:f>Distributions!$AM$20</c:f>
              <c:strCache>
                <c:ptCount val="1"/>
                <c:pt idx="0">
                  <c:v>贷款笔数占比</c:v>
                </c:pt>
              </c:strCache>
            </c:strRef>
          </c:tx>
          <c:spPr>
            <a:solidFill>
              <a:schemeClr val="accent3"/>
            </a:solidFill>
            <a:ln>
              <a:noFill/>
            </a:ln>
            <a:effectLst/>
          </c:spPr>
          <c:invertIfNegative val="0"/>
          <c:cat>
            <c:strRef>
              <c:f>Distributions!$AK$21</c:f>
              <c:strCache>
                <c:ptCount val="1"/>
                <c:pt idx="0">
                  <c:v>汇总</c:v>
                </c:pt>
              </c:strCache>
            </c:strRef>
          </c:cat>
          <c:val>
            <c:numRef>
              <c:f>Distributions!$AM$21</c:f>
              <c:numCache>
                <c:formatCode>#,##0_);\(#,##0\)</c:formatCode>
                <c:ptCount val="1"/>
                <c:pt idx="0">
                  <c:v>1468366</c:v>
                </c:pt>
              </c:numCache>
            </c:numRef>
          </c:val>
        </c:ser>
        <c:ser>
          <c:idx val="3"/>
          <c:order val="3"/>
          <c:tx>
            <c:strRef>
              <c:f>Distributions!$AN$20</c:f>
              <c:strCache>
                <c:ptCount val="1"/>
                <c:pt idx="0">
                  <c:v>贷款笔数占比</c:v>
                </c:pt>
              </c:strCache>
            </c:strRef>
          </c:tx>
          <c:spPr>
            <a:solidFill>
              <a:schemeClr val="accent4"/>
            </a:solidFill>
            <a:ln>
              <a:noFill/>
            </a:ln>
            <a:effectLst/>
          </c:spPr>
          <c:invertIfNegative val="0"/>
          <c:cat>
            <c:strRef>
              <c:f>Distributions!$AK$21</c:f>
              <c:strCache>
                <c:ptCount val="1"/>
                <c:pt idx="0">
                  <c:v>汇总</c:v>
                </c:pt>
              </c:strCache>
            </c:strRef>
          </c:cat>
          <c:val>
            <c:numRef>
              <c:f>Distributions!$AN$21</c:f>
              <c:numCache>
                <c:formatCode>0.00%</c:formatCode>
                <c:ptCount val="1"/>
                <c:pt idx="0">
                  <c:v>1</c:v>
                </c:pt>
              </c:numCache>
            </c:numRef>
          </c:val>
        </c:ser>
        <c:dLbls>
          <c:showLegendKey val="0"/>
          <c:showVal val="0"/>
          <c:showCatName val="0"/>
          <c:showSerName val="0"/>
          <c:showPercent val="0"/>
          <c:showBubbleSize val="0"/>
        </c:dLbls>
        <c:gapWidth val="219"/>
        <c:overlap val="-27"/>
        <c:axId val="233649584"/>
        <c:axId val="233642512"/>
      </c:barChart>
      <c:catAx>
        <c:axId val="233649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642512"/>
        <c:crosses val="autoZero"/>
        <c:auto val="1"/>
        <c:lblAlgn val="ctr"/>
        <c:lblOffset val="100"/>
        <c:noMultiLvlLbl val="0"/>
      </c:catAx>
      <c:valAx>
        <c:axId val="23364251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649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[PoolBase_Template.xlsm]Distributions!ptDistProductType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ser>
          <c:idx val="0"/>
          <c:order val="0"/>
          <c:tx>
            <c:strRef>
              <c:f>Distributions!$AR$20</c:f>
              <c:strCache>
                <c:ptCount val="1"/>
                <c:pt idx="0">
                  <c:v>本金余额</c:v>
                </c:pt>
              </c:strCache>
            </c:strRef>
          </c:tx>
          <c:spPr>
            <a:solidFill>
              <a:schemeClr val="accent1"/>
            </a:solidFill>
            <a:ln>
              <a:noFill/>
            </a:ln>
            <a:effectLst/>
          </c:spPr>
          <c:invertIfNegative val="0"/>
          <c:cat>
            <c:strRef>
              <c:f>Distributions!$AQ$21:$AQ$22</c:f>
              <c:strCache>
                <c:ptCount val="1"/>
              </c:strCache>
            </c:strRef>
          </c:cat>
          <c:val>
            <c:numRef>
              <c:f>Distributions!$AR$21:$AR$22</c:f>
              <c:numCache>
                <c:formatCode>#,##0_);\(#,##0\)</c:formatCode>
                <c:ptCount val="1"/>
                <c:pt idx="0">
                  <c:v>691163050.29001021</c:v>
                </c:pt>
              </c:numCache>
            </c:numRef>
          </c:val>
        </c:ser>
        <c:ser>
          <c:idx val="1"/>
          <c:order val="1"/>
          <c:tx>
            <c:strRef>
              <c:f>Distributions!$AS$20</c:f>
              <c:strCache>
                <c:ptCount val="1"/>
                <c:pt idx="0">
                  <c:v>本金余额占比</c:v>
                </c:pt>
              </c:strCache>
            </c:strRef>
          </c:tx>
          <c:spPr>
            <a:solidFill>
              <a:schemeClr val="accent2"/>
            </a:solidFill>
            <a:ln>
              <a:noFill/>
            </a:ln>
            <a:effectLst/>
          </c:spPr>
          <c:invertIfNegative val="0"/>
          <c:cat>
            <c:strRef>
              <c:f>Distributions!$AQ$21:$AQ$22</c:f>
              <c:strCache>
                <c:ptCount val="1"/>
              </c:strCache>
            </c:strRef>
          </c:cat>
          <c:val>
            <c:numRef>
              <c:f>Distributions!$AS$21:$AS$22</c:f>
              <c:numCache>
                <c:formatCode>0.00%</c:formatCode>
                <c:ptCount val="1"/>
                <c:pt idx="0">
                  <c:v>1</c:v>
                </c:pt>
              </c:numCache>
            </c:numRef>
          </c:val>
        </c:ser>
        <c:ser>
          <c:idx val="2"/>
          <c:order val="2"/>
          <c:tx>
            <c:strRef>
              <c:f>Distributions!$AT$20</c:f>
              <c:strCache>
                <c:ptCount val="1"/>
                <c:pt idx="0">
                  <c:v>贷款笔数</c:v>
                </c:pt>
              </c:strCache>
            </c:strRef>
          </c:tx>
          <c:spPr>
            <a:solidFill>
              <a:schemeClr val="accent3"/>
            </a:solidFill>
            <a:ln>
              <a:noFill/>
            </a:ln>
            <a:effectLst/>
          </c:spPr>
          <c:invertIfNegative val="0"/>
          <c:cat>
            <c:strRef>
              <c:f>Distributions!$AQ$21:$AQ$22</c:f>
              <c:strCache>
                <c:ptCount val="1"/>
              </c:strCache>
            </c:strRef>
          </c:cat>
          <c:val>
            <c:numRef>
              <c:f>Distributions!$AT$21:$AT$22</c:f>
              <c:numCache>
                <c:formatCode>#,##0_);\(#,##0\)</c:formatCode>
                <c:ptCount val="1"/>
                <c:pt idx="0">
                  <c:v>1468366</c:v>
                </c:pt>
              </c:numCache>
            </c:numRef>
          </c:val>
        </c:ser>
        <c:ser>
          <c:idx val="3"/>
          <c:order val="3"/>
          <c:tx>
            <c:strRef>
              <c:f>Distributions!$AU$20</c:f>
              <c:strCache>
                <c:ptCount val="1"/>
                <c:pt idx="0">
                  <c:v>贷款笔数占比</c:v>
                </c:pt>
              </c:strCache>
            </c:strRef>
          </c:tx>
          <c:spPr>
            <a:solidFill>
              <a:schemeClr val="accent4"/>
            </a:solidFill>
            <a:ln>
              <a:noFill/>
            </a:ln>
            <a:effectLst/>
          </c:spPr>
          <c:invertIfNegative val="0"/>
          <c:cat>
            <c:strRef>
              <c:f>Distributions!$AQ$21:$AQ$22</c:f>
              <c:strCache>
                <c:ptCount val="1"/>
              </c:strCache>
            </c:strRef>
          </c:cat>
          <c:val>
            <c:numRef>
              <c:f>Distributions!$AU$21:$AU$22</c:f>
              <c:numCache>
                <c:formatCode>0.00%</c:formatCode>
                <c:ptCount val="1"/>
                <c:pt idx="0">
                  <c:v>1</c:v>
                </c:pt>
              </c:numCache>
            </c:numRef>
          </c:val>
        </c:ser>
        <c:dLbls>
          <c:showLegendKey val="0"/>
          <c:showVal val="0"/>
          <c:showCatName val="0"/>
          <c:showSerName val="0"/>
          <c:showPercent val="0"/>
          <c:showBubbleSize val="0"/>
        </c:dLbls>
        <c:gapWidth val="219"/>
        <c:overlap val="-27"/>
        <c:axId val="234320784"/>
        <c:axId val="234326224"/>
      </c:barChart>
      <c:catAx>
        <c:axId val="234320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326224"/>
        <c:crosses val="autoZero"/>
        <c:auto val="1"/>
        <c:lblAlgn val="ctr"/>
        <c:lblOffset val="100"/>
        <c:noMultiLvlLbl val="0"/>
      </c:catAx>
      <c:valAx>
        <c:axId val="234326224"/>
        <c:scaling>
          <c:orientation val="minMax"/>
        </c:scaling>
        <c:delete val="0"/>
        <c:axPos val="l"/>
        <c:majorGridlines>
          <c:spPr>
            <a:ln w="9525" cap="flat" cmpd="sng" algn="ctr">
              <a:solidFill>
                <a:schemeClr val="tx1">
                  <a:lumMod val="15000"/>
                  <a:lumOff val="85000"/>
                </a:schemeClr>
              </a:solidFill>
              <a:round/>
            </a:ln>
            <a:effectLst/>
          </c:spPr>
        </c:majorGridlines>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320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[PoolBase_Template.xlsm]Distributions!数据透视表1</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Distributions!$AX$20</c:f>
              <c:strCache>
                <c:ptCount val="1"/>
                <c:pt idx="0">
                  <c:v>本金余额</c:v>
                </c:pt>
              </c:strCache>
            </c:strRef>
          </c:tx>
          <c:spPr>
            <a:solidFill>
              <a:schemeClr val="accent1"/>
            </a:solidFill>
            <a:ln>
              <a:noFill/>
            </a:ln>
            <a:effectLst/>
          </c:spPr>
          <c:invertIfNegative val="0"/>
          <c:cat>
            <c:strRef>
              <c:f>Distributions!$AW$21</c:f>
              <c:strCache>
                <c:ptCount val="1"/>
                <c:pt idx="0">
                  <c:v>总数</c:v>
                </c:pt>
              </c:strCache>
            </c:strRef>
          </c:cat>
          <c:val>
            <c:numRef>
              <c:f>Distributions!$AX$21</c:f>
              <c:numCache>
                <c:formatCode>[$¥-804]#,##0.00</c:formatCode>
                <c:ptCount val="1"/>
                <c:pt idx="0">
                  <c:v>691163050.29001021</c:v>
                </c:pt>
              </c:numCache>
            </c:numRef>
          </c:val>
        </c:ser>
        <c:ser>
          <c:idx val="1"/>
          <c:order val="1"/>
          <c:tx>
            <c:strRef>
              <c:f>Distributions!$AY$20</c:f>
              <c:strCache>
                <c:ptCount val="1"/>
                <c:pt idx="0">
                  <c:v>本金余额占比</c:v>
                </c:pt>
              </c:strCache>
            </c:strRef>
          </c:tx>
          <c:spPr>
            <a:solidFill>
              <a:schemeClr val="accent2"/>
            </a:solidFill>
            <a:ln>
              <a:noFill/>
            </a:ln>
            <a:effectLst/>
          </c:spPr>
          <c:invertIfNegative val="0"/>
          <c:cat>
            <c:strRef>
              <c:f>Distributions!$AW$21</c:f>
              <c:strCache>
                <c:ptCount val="1"/>
                <c:pt idx="0">
                  <c:v>总数</c:v>
                </c:pt>
              </c:strCache>
            </c:strRef>
          </c:cat>
          <c:val>
            <c:numRef>
              <c:f>Distributions!$AY$21</c:f>
              <c:numCache>
                <c:formatCode>0.00%</c:formatCode>
                <c:ptCount val="1"/>
                <c:pt idx="0">
                  <c:v>1</c:v>
                </c:pt>
              </c:numCache>
            </c:numRef>
          </c:val>
        </c:ser>
        <c:ser>
          <c:idx val="2"/>
          <c:order val="2"/>
          <c:tx>
            <c:strRef>
              <c:f>Distributions!$AZ$20</c:f>
              <c:strCache>
                <c:ptCount val="1"/>
                <c:pt idx="0">
                  <c:v>贷款笔数占比</c:v>
                </c:pt>
              </c:strCache>
            </c:strRef>
          </c:tx>
          <c:spPr>
            <a:solidFill>
              <a:schemeClr val="accent3"/>
            </a:solidFill>
            <a:ln>
              <a:noFill/>
            </a:ln>
            <a:effectLst/>
          </c:spPr>
          <c:invertIfNegative val="0"/>
          <c:cat>
            <c:strRef>
              <c:f>Distributions!$AW$21</c:f>
              <c:strCache>
                <c:ptCount val="1"/>
                <c:pt idx="0">
                  <c:v>总数</c:v>
                </c:pt>
              </c:strCache>
            </c:strRef>
          </c:cat>
          <c:val>
            <c:numRef>
              <c:f>Distributions!$AZ$21</c:f>
              <c:numCache>
                <c:formatCode>#,##0_);\(#,##0\)</c:formatCode>
                <c:ptCount val="1"/>
                <c:pt idx="0">
                  <c:v>1468366</c:v>
                </c:pt>
              </c:numCache>
            </c:numRef>
          </c:val>
        </c:ser>
        <c:ser>
          <c:idx val="3"/>
          <c:order val="3"/>
          <c:tx>
            <c:strRef>
              <c:f>Distributions!$BA$20</c:f>
              <c:strCache>
                <c:ptCount val="1"/>
                <c:pt idx="0">
                  <c:v>贷款笔数占比</c:v>
                </c:pt>
              </c:strCache>
            </c:strRef>
          </c:tx>
          <c:spPr>
            <a:solidFill>
              <a:schemeClr val="accent4"/>
            </a:solidFill>
            <a:ln>
              <a:noFill/>
            </a:ln>
            <a:effectLst/>
          </c:spPr>
          <c:invertIfNegative val="0"/>
          <c:cat>
            <c:strRef>
              <c:f>Distributions!$AW$21</c:f>
              <c:strCache>
                <c:ptCount val="1"/>
                <c:pt idx="0">
                  <c:v>总数</c:v>
                </c:pt>
              </c:strCache>
            </c:strRef>
          </c:cat>
          <c:val>
            <c:numRef>
              <c:f>Distributions!$BA$21</c:f>
              <c:numCache>
                <c:formatCode>0.00%</c:formatCode>
                <c:ptCount val="1"/>
                <c:pt idx="0">
                  <c:v>1</c:v>
                </c:pt>
              </c:numCache>
            </c:numRef>
          </c:val>
        </c:ser>
        <c:dLbls>
          <c:showLegendKey val="0"/>
          <c:showVal val="0"/>
          <c:showCatName val="0"/>
          <c:showSerName val="0"/>
          <c:showPercent val="0"/>
          <c:showBubbleSize val="0"/>
        </c:dLbls>
        <c:gapWidth val="219"/>
        <c:overlap val="-27"/>
        <c:axId val="273649664"/>
        <c:axId val="273654016"/>
      </c:barChart>
      <c:catAx>
        <c:axId val="273649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3654016"/>
        <c:crosses val="autoZero"/>
        <c:auto val="1"/>
        <c:lblAlgn val="ctr"/>
        <c:lblOffset val="100"/>
        <c:noMultiLvlLbl val="0"/>
      </c:catAx>
      <c:valAx>
        <c:axId val="27365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3649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[PoolBase_Template.xlsm]Distributions!数据透视表2</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Distributions!$BD$20</c:f>
              <c:strCache>
                <c:ptCount val="1"/>
                <c:pt idx="0">
                  <c:v>本金余额</c:v>
                </c:pt>
              </c:strCache>
            </c:strRef>
          </c:tx>
          <c:spPr>
            <a:solidFill>
              <a:schemeClr val="accent1"/>
            </a:solidFill>
            <a:ln>
              <a:noFill/>
            </a:ln>
            <a:effectLst/>
          </c:spPr>
          <c:invertIfNegative val="0"/>
          <c:cat>
            <c:strRef>
              <c:f>Distributions!$BC$21</c:f>
              <c:strCache>
                <c:ptCount val="1"/>
                <c:pt idx="0">
                  <c:v>总数</c:v>
                </c:pt>
              </c:strCache>
            </c:strRef>
          </c:cat>
          <c:val>
            <c:numRef>
              <c:f>Distributions!$BD$21</c:f>
              <c:numCache>
                <c:formatCode>[$¥-804]#,##0.00</c:formatCode>
                <c:ptCount val="1"/>
                <c:pt idx="0">
                  <c:v>691163050.29001021</c:v>
                </c:pt>
              </c:numCache>
            </c:numRef>
          </c:val>
        </c:ser>
        <c:ser>
          <c:idx val="1"/>
          <c:order val="1"/>
          <c:tx>
            <c:strRef>
              <c:f>Distributions!$BE$20</c:f>
              <c:strCache>
                <c:ptCount val="1"/>
                <c:pt idx="0">
                  <c:v>本金余额占比</c:v>
                </c:pt>
              </c:strCache>
            </c:strRef>
          </c:tx>
          <c:spPr>
            <a:solidFill>
              <a:schemeClr val="accent2"/>
            </a:solidFill>
            <a:ln>
              <a:noFill/>
            </a:ln>
            <a:effectLst/>
          </c:spPr>
          <c:invertIfNegative val="0"/>
          <c:cat>
            <c:strRef>
              <c:f>Distributions!$BC$21</c:f>
              <c:strCache>
                <c:ptCount val="1"/>
                <c:pt idx="0">
                  <c:v>总数</c:v>
                </c:pt>
              </c:strCache>
            </c:strRef>
          </c:cat>
          <c:val>
            <c:numRef>
              <c:f>Distributions!$BE$21</c:f>
              <c:numCache>
                <c:formatCode>0.00%</c:formatCode>
                <c:ptCount val="1"/>
                <c:pt idx="0">
                  <c:v>1</c:v>
                </c:pt>
              </c:numCache>
            </c:numRef>
          </c:val>
        </c:ser>
        <c:ser>
          <c:idx val="2"/>
          <c:order val="2"/>
          <c:tx>
            <c:strRef>
              <c:f>Distributions!$BF$20</c:f>
              <c:strCache>
                <c:ptCount val="1"/>
                <c:pt idx="0">
                  <c:v>贷款笔数占比</c:v>
                </c:pt>
              </c:strCache>
            </c:strRef>
          </c:tx>
          <c:spPr>
            <a:solidFill>
              <a:schemeClr val="accent3"/>
            </a:solidFill>
            <a:ln>
              <a:noFill/>
            </a:ln>
            <a:effectLst/>
          </c:spPr>
          <c:invertIfNegative val="0"/>
          <c:cat>
            <c:strRef>
              <c:f>Distributions!$BC$21</c:f>
              <c:strCache>
                <c:ptCount val="1"/>
                <c:pt idx="0">
                  <c:v>总数</c:v>
                </c:pt>
              </c:strCache>
            </c:strRef>
          </c:cat>
          <c:val>
            <c:numRef>
              <c:f>Distributions!$BF$21</c:f>
              <c:numCache>
                <c:formatCode>#,##0_);\(#,##0\)</c:formatCode>
                <c:ptCount val="1"/>
                <c:pt idx="0">
                  <c:v>1468366</c:v>
                </c:pt>
              </c:numCache>
            </c:numRef>
          </c:val>
        </c:ser>
        <c:ser>
          <c:idx val="3"/>
          <c:order val="3"/>
          <c:tx>
            <c:strRef>
              <c:f>Distributions!$BG$20</c:f>
              <c:strCache>
                <c:ptCount val="1"/>
                <c:pt idx="0">
                  <c:v>贷款笔数占比</c:v>
                </c:pt>
              </c:strCache>
            </c:strRef>
          </c:tx>
          <c:spPr>
            <a:solidFill>
              <a:schemeClr val="accent4"/>
            </a:solidFill>
            <a:ln>
              <a:noFill/>
            </a:ln>
            <a:effectLst/>
          </c:spPr>
          <c:invertIfNegative val="0"/>
          <c:cat>
            <c:strRef>
              <c:f>Distributions!$BC$21</c:f>
              <c:strCache>
                <c:ptCount val="1"/>
                <c:pt idx="0">
                  <c:v>总数</c:v>
                </c:pt>
              </c:strCache>
            </c:strRef>
          </c:cat>
          <c:val>
            <c:numRef>
              <c:f>Distributions!$BG$21</c:f>
              <c:numCache>
                <c:formatCode>0.00%</c:formatCode>
                <c:ptCount val="1"/>
                <c:pt idx="0">
                  <c:v>1</c:v>
                </c:pt>
              </c:numCache>
            </c:numRef>
          </c:val>
        </c:ser>
        <c:dLbls>
          <c:showLegendKey val="0"/>
          <c:showVal val="0"/>
          <c:showCatName val="0"/>
          <c:showSerName val="0"/>
          <c:showPercent val="0"/>
          <c:showBubbleSize val="0"/>
        </c:dLbls>
        <c:gapWidth val="219"/>
        <c:overlap val="-27"/>
        <c:axId val="569746304"/>
        <c:axId val="569741408"/>
      </c:barChart>
      <c:catAx>
        <c:axId val="569746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741408"/>
        <c:crosses val="autoZero"/>
        <c:auto val="1"/>
        <c:lblAlgn val="ctr"/>
        <c:lblOffset val="100"/>
        <c:noMultiLvlLbl val="0"/>
      </c:catAx>
      <c:valAx>
        <c:axId val="56974140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746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[PoolBase_Template.xlsm]Distributions!数据透视表3</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Distributions!$BJ$20</c:f>
              <c:strCache>
                <c:ptCount val="1"/>
                <c:pt idx="0">
                  <c:v>本金余额</c:v>
                </c:pt>
              </c:strCache>
            </c:strRef>
          </c:tx>
          <c:spPr>
            <a:solidFill>
              <a:schemeClr val="accent1"/>
            </a:solidFill>
            <a:ln>
              <a:noFill/>
            </a:ln>
            <a:effectLst/>
          </c:spPr>
          <c:invertIfNegative val="0"/>
          <c:cat>
            <c:strRef>
              <c:f>Distributions!$BI$21</c:f>
              <c:strCache>
                <c:ptCount val="1"/>
                <c:pt idx="0">
                  <c:v>总数</c:v>
                </c:pt>
              </c:strCache>
            </c:strRef>
          </c:cat>
          <c:val>
            <c:numRef>
              <c:f>Distributions!$BJ$21</c:f>
              <c:numCache>
                <c:formatCode>[$¥-804]#,##0.00</c:formatCode>
                <c:ptCount val="1"/>
                <c:pt idx="0">
                  <c:v>691163050.29001021</c:v>
                </c:pt>
              </c:numCache>
            </c:numRef>
          </c:val>
        </c:ser>
        <c:ser>
          <c:idx val="1"/>
          <c:order val="1"/>
          <c:tx>
            <c:strRef>
              <c:f>Distributions!$BK$20</c:f>
              <c:strCache>
                <c:ptCount val="1"/>
                <c:pt idx="0">
                  <c:v>本金余额占比</c:v>
                </c:pt>
              </c:strCache>
            </c:strRef>
          </c:tx>
          <c:spPr>
            <a:solidFill>
              <a:schemeClr val="accent2"/>
            </a:solidFill>
            <a:ln>
              <a:noFill/>
            </a:ln>
            <a:effectLst/>
          </c:spPr>
          <c:invertIfNegative val="0"/>
          <c:cat>
            <c:strRef>
              <c:f>Distributions!$BI$21</c:f>
              <c:strCache>
                <c:ptCount val="1"/>
                <c:pt idx="0">
                  <c:v>总数</c:v>
                </c:pt>
              </c:strCache>
            </c:strRef>
          </c:cat>
          <c:val>
            <c:numRef>
              <c:f>Distributions!$BK$21</c:f>
              <c:numCache>
                <c:formatCode>0.00%</c:formatCode>
                <c:ptCount val="1"/>
                <c:pt idx="0">
                  <c:v>1</c:v>
                </c:pt>
              </c:numCache>
            </c:numRef>
          </c:val>
        </c:ser>
        <c:ser>
          <c:idx val="2"/>
          <c:order val="2"/>
          <c:tx>
            <c:strRef>
              <c:f>Distributions!$BL$20</c:f>
              <c:strCache>
                <c:ptCount val="1"/>
                <c:pt idx="0">
                  <c:v>贷款笔数占比</c:v>
                </c:pt>
              </c:strCache>
            </c:strRef>
          </c:tx>
          <c:spPr>
            <a:solidFill>
              <a:schemeClr val="accent3"/>
            </a:solidFill>
            <a:ln>
              <a:noFill/>
            </a:ln>
            <a:effectLst/>
          </c:spPr>
          <c:invertIfNegative val="0"/>
          <c:cat>
            <c:strRef>
              <c:f>Distributions!$BI$21</c:f>
              <c:strCache>
                <c:ptCount val="1"/>
                <c:pt idx="0">
                  <c:v>总数</c:v>
                </c:pt>
              </c:strCache>
            </c:strRef>
          </c:cat>
          <c:val>
            <c:numRef>
              <c:f>Distributions!$BL$21</c:f>
              <c:numCache>
                <c:formatCode>#,##0_);\(#,##0\)</c:formatCode>
                <c:ptCount val="1"/>
                <c:pt idx="0">
                  <c:v>1468366</c:v>
                </c:pt>
              </c:numCache>
            </c:numRef>
          </c:val>
        </c:ser>
        <c:ser>
          <c:idx val="3"/>
          <c:order val="3"/>
          <c:tx>
            <c:strRef>
              <c:f>Distributions!$BM$20</c:f>
              <c:strCache>
                <c:ptCount val="1"/>
                <c:pt idx="0">
                  <c:v>贷款笔数占比</c:v>
                </c:pt>
              </c:strCache>
            </c:strRef>
          </c:tx>
          <c:spPr>
            <a:solidFill>
              <a:schemeClr val="accent4"/>
            </a:solidFill>
            <a:ln>
              <a:noFill/>
            </a:ln>
            <a:effectLst/>
          </c:spPr>
          <c:invertIfNegative val="0"/>
          <c:cat>
            <c:strRef>
              <c:f>Distributions!$BI$21</c:f>
              <c:strCache>
                <c:ptCount val="1"/>
                <c:pt idx="0">
                  <c:v>总数</c:v>
                </c:pt>
              </c:strCache>
            </c:strRef>
          </c:cat>
          <c:val>
            <c:numRef>
              <c:f>Distributions!$BM$21</c:f>
              <c:numCache>
                <c:formatCode>0.00%</c:formatCode>
                <c:ptCount val="1"/>
                <c:pt idx="0">
                  <c:v>1</c:v>
                </c:pt>
              </c:numCache>
            </c:numRef>
          </c:val>
        </c:ser>
        <c:dLbls>
          <c:showLegendKey val="0"/>
          <c:showVal val="0"/>
          <c:showCatName val="0"/>
          <c:showSerName val="0"/>
          <c:showPercent val="0"/>
          <c:showBubbleSize val="0"/>
        </c:dLbls>
        <c:gapWidth val="219"/>
        <c:overlap val="-27"/>
        <c:axId val="569753376"/>
        <c:axId val="569756096"/>
      </c:barChart>
      <c:catAx>
        <c:axId val="569753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756096"/>
        <c:crosses val="autoZero"/>
        <c:auto val="1"/>
        <c:lblAlgn val="ctr"/>
        <c:lblOffset val="100"/>
        <c:noMultiLvlLbl val="0"/>
      </c:catAx>
      <c:valAx>
        <c:axId val="5697560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753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[PoolBase_Template.xlsm]Distributions!数据透视表4</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Distributions!$BP$20</c:f>
              <c:strCache>
                <c:ptCount val="1"/>
                <c:pt idx="0">
                  <c:v>本金余额</c:v>
                </c:pt>
              </c:strCache>
            </c:strRef>
          </c:tx>
          <c:spPr>
            <a:solidFill>
              <a:schemeClr val="accent1"/>
            </a:solidFill>
            <a:ln>
              <a:noFill/>
            </a:ln>
            <a:effectLst/>
          </c:spPr>
          <c:invertIfNegative val="0"/>
          <c:cat>
            <c:strRef>
              <c:f>Distributions!$BO$21:$BO$22</c:f>
              <c:strCache>
                <c:ptCount val="1"/>
              </c:strCache>
            </c:strRef>
          </c:cat>
          <c:val>
            <c:numRef>
              <c:f>Distributions!$BP$21:$BP$22</c:f>
              <c:numCache>
                <c:formatCode>[$¥-804]#,##0.00</c:formatCode>
                <c:ptCount val="1"/>
                <c:pt idx="0">
                  <c:v>691163050.29001009</c:v>
                </c:pt>
              </c:numCache>
            </c:numRef>
          </c:val>
        </c:ser>
        <c:ser>
          <c:idx val="1"/>
          <c:order val="1"/>
          <c:tx>
            <c:strRef>
              <c:f>Distributions!$BQ$20</c:f>
              <c:strCache>
                <c:ptCount val="1"/>
                <c:pt idx="0">
                  <c:v>本金余额占比</c:v>
                </c:pt>
              </c:strCache>
            </c:strRef>
          </c:tx>
          <c:spPr>
            <a:solidFill>
              <a:schemeClr val="accent2"/>
            </a:solidFill>
            <a:ln>
              <a:noFill/>
            </a:ln>
            <a:effectLst/>
          </c:spPr>
          <c:invertIfNegative val="0"/>
          <c:cat>
            <c:strRef>
              <c:f>Distributions!$BO$21:$BO$22</c:f>
              <c:strCache>
                <c:ptCount val="1"/>
              </c:strCache>
            </c:strRef>
          </c:cat>
          <c:val>
            <c:numRef>
              <c:f>Distributions!$BQ$21:$BQ$22</c:f>
              <c:numCache>
                <c:formatCode>0.00%</c:formatCode>
                <c:ptCount val="1"/>
                <c:pt idx="0">
                  <c:v>0.99999999999999978</c:v>
                </c:pt>
              </c:numCache>
            </c:numRef>
          </c:val>
        </c:ser>
        <c:ser>
          <c:idx val="2"/>
          <c:order val="2"/>
          <c:tx>
            <c:strRef>
              <c:f>Distributions!$BR$20</c:f>
              <c:strCache>
                <c:ptCount val="1"/>
                <c:pt idx="0">
                  <c:v>贷款笔数占比</c:v>
                </c:pt>
              </c:strCache>
            </c:strRef>
          </c:tx>
          <c:spPr>
            <a:solidFill>
              <a:schemeClr val="accent3"/>
            </a:solidFill>
            <a:ln>
              <a:noFill/>
            </a:ln>
            <a:effectLst/>
          </c:spPr>
          <c:invertIfNegative val="0"/>
          <c:cat>
            <c:strRef>
              <c:f>Distributions!$BO$21:$BO$22</c:f>
              <c:strCache>
                <c:ptCount val="1"/>
              </c:strCache>
            </c:strRef>
          </c:cat>
          <c:val>
            <c:numRef>
              <c:f>Distributions!$BR$21:$BR$22</c:f>
              <c:numCache>
                <c:formatCode>#,##0_);\(#,##0\)</c:formatCode>
                <c:ptCount val="1"/>
                <c:pt idx="0">
                  <c:v>1468366</c:v>
                </c:pt>
              </c:numCache>
            </c:numRef>
          </c:val>
        </c:ser>
        <c:ser>
          <c:idx val="3"/>
          <c:order val="3"/>
          <c:tx>
            <c:strRef>
              <c:f>Distributions!$BS$20</c:f>
              <c:strCache>
                <c:ptCount val="1"/>
                <c:pt idx="0">
                  <c:v>贷款笔数占比</c:v>
                </c:pt>
              </c:strCache>
            </c:strRef>
          </c:tx>
          <c:spPr>
            <a:solidFill>
              <a:schemeClr val="accent4"/>
            </a:solidFill>
            <a:ln>
              <a:noFill/>
            </a:ln>
            <a:effectLst/>
          </c:spPr>
          <c:invertIfNegative val="0"/>
          <c:cat>
            <c:strRef>
              <c:f>Distributions!$BO$21:$BO$22</c:f>
              <c:strCache>
                <c:ptCount val="1"/>
              </c:strCache>
            </c:strRef>
          </c:cat>
          <c:val>
            <c:numRef>
              <c:f>Distributions!$BS$21:$BS$22</c:f>
              <c:numCache>
                <c:formatCode>0.00%</c:formatCode>
                <c:ptCount val="1"/>
                <c:pt idx="0">
                  <c:v>1</c:v>
                </c:pt>
              </c:numCache>
            </c:numRef>
          </c:val>
        </c:ser>
        <c:dLbls>
          <c:showLegendKey val="0"/>
          <c:showVal val="0"/>
          <c:showCatName val="0"/>
          <c:showSerName val="0"/>
          <c:showPercent val="0"/>
          <c:showBubbleSize val="0"/>
        </c:dLbls>
        <c:gapWidth val="219"/>
        <c:overlap val="-27"/>
        <c:axId val="569745216"/>
        <c:axId val="569742496"/>
      </c:barChart>
      <c:catAx>
        <c:axId val="569745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742496"/>
        <c:crosses val="autoZero"/>
        <c:auto val="1"/>
        <c:lblAlgn val="ctr"/>
        <c:lblOffset val="100"/>
        <c:noMultiLvlLbl val="0"/>
      </c:catAx>
      <c:valAx>
        <c:axId val="5697424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7452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[PoolBase_Template.xlsm]Distributions!数据透视表5</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Distributions!$BV$20</c:f>
              <c:strCache>
                <c:ptCount val="1"/>
                <c:pt idx="0">
                  <c:v>本金余额</c:v>
                </c:pt>
              </c:strCache>
            </c:strRef>
          </c:tx>
          <c:spPr>
            <a:solidFill>
              <a:schemeClr val="accent1"/>
            </a:solidFill>
            <a:ln>
              <a:noFill/>
            </a:ln>
            <a:effectLst/>
          </c:spPr>
          <c:invertIfNegative val="0"/>
          <c:cat>
            <c:strRef>
              <c:f>Distributions!$BU$21:$BU$22</c:f>
              <c:strCache>
                <c:ptCount val="1"/>
              </c:strCache>
            </c:strRef>
          </c:cat>
          <c:val>
            <c:numRef>
              <c:f>Distributions!$BV$21:$BV$22</c:f>
              <c:numCache>
                <c:formatCode>[$¥-804]#,##0.00</c:formatCode>
                <c:ptCount val="1"/>
                <c:pt idx="0">
                  <c:v>691163050.29001009</c:v>
                </c:pt>
              </c:numCache>
            </c:numRef>
          </c:val>
        </c:ser>
        <c:ser>
          <c:idx val="1"/>
          <c:order val="1"/>
          <c:tx>
            <c:strRef>
              <c:f>Distributions!$BW$20</c:f>
              <c:strCache>
                <c:ptCount val="1"/>
                <c:pt idx="0">
                  <c:v>本金余额占比</c:v>
                </c:pt>
              </c:strCache>
            </c:strRef>
          </c:tx>
          <c:spPr>
            <a:solidFill>
              <a:schemeClr val="accent2"/>
            </a:solidFill>
            <a:ln>
              <a:noFill/>
            </a:ln>
            <a:effectLst/>
          </c:spPr>
          <c:invertIfNegative val="0"/>
          <c:cat>
            <c:strRef>
              <c:f>Distributions!$BU$21:$BU$22</c:f>
              <c:strCache>
                <c:ptCount val="1"/>
              </c:strCache>
            </c:strRef>
          </c:cat>
          <c:val>
            <c:numRef>
              <c:f>Distributions!$BW$21:$BW$22</c:f>
              <c:numCache>
                <c:formatCode>0.00%</c:formatCode>
                <c:ptCount val="1"/>
                <c:pt idx="0">
                  <c:v>0.99999999999999978</c:v>
                </c:pt>
              </c:numCache>
            </c:numRef>
          </c:val>
        </c:ser>
        <c:ser>
          <c:idx val="2"/>
          <c:order val="2"/>
          <c:tx>
            <c:strRef>
              <c:f>Distributions!$BX$20</c:f>
              <c:strCache>
                <c:ptCount val="1"/>
                <c:pt idx="0">
                  <c:v>贷款笔数占比</c:v>
                </c:pt>
              </c:strCache>
            </c:strRef>
          </c:tx>
          <c:spPr>
            <a:solidFill>
              <a:schemeClr val="accent3"/>
            </a:solidFill>
            <a:ln>
              <a:noFill/>
            </a:ln>
            <a:effectLst/>
          </c:spPr>
          <c:invertIfNegative val="0"/>
          <c:cat>
            <c:strRef>
              <c:f>Distributions!$BU$21:$BU$22</c:f>
              <c:strCache>
                <c:ptCount val="1"/>
              </c:strCache>
            </c:strRef>
          </c:cat>
          <c:val>
            <c:numRef>
              <c:f>Distributions!$BX$21:$BX$22</c:f>
              <c:numCache>
                <c:formatCode>#,##0_);\(#,##0\)</c:formatCode>
                <c:ptCount val="1"/>
                <c:pt idx="0">
                  <c:v>1468366</c:v>
                </c:pt>
              </c:numCache>
            </c:numRef>
          </c:val>
        </c:ser>
        <c:ser>
          <c:idx val="3"/>
          <c:order val="3"/>
          <c:tx>
            <c:strRef>
              <c:f>Distributions!$BY$20</c:f>
              <c:strCache>
                <c:ptCount val="1"/>
                <c:pt idx="0">
                  <c:v>贷款笔数占比</c:v>
                </c:pt>
              </c:strCache>
            </c:strRef>
          </c:tx>
          <c:spPr>
            <a:solidFill>
              <a:schemeClr val="accent4"/>
            </a:solidFill>
            <a:ln>
              <a:noFill/>
            </a:ln>
            <a:effectLst/>
          </c:spPr>
          <c:invertIfNegative val="0"/>
          <c:cat>
            <c:strRef>
              <c:f>Distributions!$BU$21:$BU$22</c:f>
              <c:strCache>
                <c:ptCount val="1"/>
              </c:strCache>
            </c:strRef>
          </c:cat>
          <c:val>
            <c:numRef>
              <c:f>Distributions!$BY$21:$BY$22</c:f>
              <c:numCache>
                <c:formatCode>0.00%</c:formatCode>
                <c:ptCount val="1"/>
                <c:pt idx="0">
                  <c:v>1</c:v>
                </c:pt>
              </c:numCache>
            </c:numRef>
          </c:val>
        </c:ser>
        <c:dLbls>
          <c:showLegendKey val="0"/>
          <c:showVal val="0"/>
          <c:showCatName val="0"/>
          <c:showSerName val="0"/>
          <c:showPercent val="0"/>
          <c:showBubbleSize val="0"/>
        </c:dLbls>
        <c:gapWidth val="219"/>
        <c:overlap val="-27"/>
        <c:axId val="569746848"/>
        <c:axId val="569747392"/>
      </c:barChart>
      <c:catAx>
        <c:axId val="569746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747392"/>
        <c:crosses val="autoZero"/>
        <c:auto val="1"/>
        <c:lblAlgn val="ctr"/>
        <c:lblOffset val="100"/>
        <c:noMultiLvlLbl val="0"/>
      </c:catAx>
      <c:valAx>
        <c:axId val="5697473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746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[PoolBase_Template.xlsm]Distributions!数据透视表6</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Distributions!$CB$20</c:f>
              <c:strCache>
                <c:ptCount val="1"/>
                <c:pt idx="0">
                  <c:v>本金余额</c:v>
                </c:pt>
              </c:strCache>
            </c:strRef>
          </c:tx>
          <c:spPr>
            <a:solidFill>
              <a:schemeClr val="accent1"/>
            </a:solidFill>
            <a:ln>
              <a:noFill/>
            </a:ln>
            <a:effectLst/>
          </c:spPr>
          <c:invertIfNegative val="0"/>
          <c:cat>
            <c:strRef>
              <c:f>Distributions!$CA$21:$CA$22</c:f>
              <c:strCache>
                <c:ptCount val="1"/>
              </c:strCache>
            </c:strRef>
          </c:cat>
          <c:val>
            <c:numRef>
              <c:f>Distributions!$CB$21:$CB$22</c:f>
              <c:numCache>
                <c:formatCode>[$¥-804]#,##0.00</c:formatCode>
                <c:ptCount val="1"/>
                <c:pt idx="0">
                  <c:v>691163050.29001009</c:v>
                </c:pt>
              </c:numCache>
            </c:numRef>
          </c:val>
        </c:ser>
        <c:ser>
          <c:idx val="1"/>
          <c:order val="1"/>
          <c:tx>
            <c:strRef>
              <c:f>Distributions!$CC$20</c:f>
              <c:strCache>
                <c:ptCount val="1"/>
                <c:pt idx="0">
                  <c:v>本金余额占比</c:v>
                </c:pt>
              </c:strCache>
            </c:strRef>
          </c:tx>
          <c:spPr>
            <a:solidFill>
              <a:schemeClr val="accent2"/>
            </a:solidFill>
            <a:ln>
              <a:noFill/>
            </a:ln>
            <a:effectLst/>
          </c:spPr>
          <c:invertIfNegative val="0"/>
          <c:cat>
            <c:strRef>
              <c:f>Distributions!$CA$21:$CA$22</c:f>
              <c:strCache>
                <c:ptCount val="1"/>
              </c:strCache>
            </c:strRef>
          </c:cat>
          <c:val>
            <c:numRef>
              <c:f>Distributions!$CC$21:$CC$22</c:f>
              <c:numCache>
                <c:formatCode>0.00%</c:formatCode>
                <c:ptCount val="1"/>
                <c:pt idx="0">
                  <c:v>0.99999999999999978</c:v>
                </c:pt>
              </c:numCache>
            </c:numRef>
          </c:val>
        </c:ser>
        <c:ser>
          <c:idx val="2"/>
          <c:order val="2"/>
          <c:tx>
            <c:strRef>
              <c:f>Distributions!$CD$20</c:f>
              <c:strCache>
                <c:ptCount val="1"/>
                <c:pt idx="0">
                  <c:v>贷款笔数占比</c:v>
                </c:pt>
              </c:strCache>
            </c:strRef>
          </c:tx>
          <c:spPr>
            <a:solidFill>
              <a:schemeClr val="accent3"/>
            </a:solidFill>
            <a:ln>
              <a:noFill/>
            </a:ln>
            <a:effectLst/>
          </c:spPr>
          <c:invertIfNegative val="0"/>
          <c:cat>
            <c:strRef>
              <c:f>Distributions!$CA$21:$CA$22</c:f>
              <c:strCache>
                <c:ptCount val="1"/>
              </c:strCache>
            </c:strRef>
          </c:cat>
          <c:val>
            <c:numRef>
              <c:f>Distributions!$CD$21:$CD$22</c:f>
              <c:numCache>
                <c:formatCode>#,##0_);\(#,##0\)</c:formatCode>
                <c:ptCount val="1"/>
                <c:pt idx="0">
                  <c:v>1468366</c:v>
                </c:pt>
              </c:numCache>
            </c:numRef>
          </c:val>
        </c:ser>
        <c:ser>
          <c:idx val="3"/>
          <c:order val="3"/>
          <c:tx>
            <c:strRef>
              <c:f>Distributions!$CE$20</c:f>
              <c:strCache>
                <c:ptCount val="1"/>
                <c:pt idx="0">
                  <c:v>贷款笔数占比</c:v>
                </c:pt>
              </c:strCache>
            </c:strRef>
          </c:tx>
          <c:spPr>
            <a:solidFill>
              <a:schemeClr val="accent4"/>
            </a:solidFill>
            <a:ln>
              <a:noFill/>
            </a:ln>
            <a:effectLst/>
          </c:spPr>
          <c:invertIfNegative val="0"/>
          <c:cat>
            <c:strRef>
              <c:f>Distributions!$CA$21:$CA$22</c:f>
              <c:strCache>
                <c:ptCount val="1"/>
              </c:strCache>
            </c:strRef>
          </c:cat>
          <c:val>
            <c:numRef>
              <c:f>Distributions!$CE$21:$CE$22</c:f>
              <c:numCache>
                <c:formatCode>0.00%</c:formatCode>
                <c:ptCount val="1"/>
                <c:pt idx="0">
                  <c:v>1</c:v>
                </c:pt>
              </c:numCache>
            </c:numRef>
          </c:val>
        </c:ser>
        <c:dLbls>
          <c:showLegendKey val="0"/>
          <c:showVal val="0"/>
          <c:showCatName val="0"/>
          <c:showSerName val="0"/>
          <c:showPercent val="0"/>
          <c:showBubbleSize val="0"/>
        </c:dLbls>
        <c:gapWidth val="219"/>
        <c:overlap val="-27"/>
        <c:axId val="273642048"/>
        <c:axId val="273643680"/>
      </c:barChart>
      <c:catAx>
        <c:axId val="273642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3643680"/>
        <c:crosses val="autoZero"/>
        <c:auto val="1"/>
        <c:lblAlgn val="ctr"/>
        <c:lblOffset val="100"/>
        <c:noMultiLvlLbl val="0"/>
      </c:catAx>
      <c:valAx>
        <c:axId val="273643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3642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[PoolBase_Template.xlsm]Distributions!数据透视表7</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Distributions!$CH$20</c:f>
              <c:strCache>
                <c:ptCount val="1"/>
                <c:pt idx="0">
                  <c:v>本金余额</c:v>
                </c:pt>
              </c:strCache>
            </c:strRef>
          </c:tx>
          <c:spPr>
            <a:solidFill>
              <a:schemeClr val="accent1"/>
            </a:solidFill>
            <a:ln>
              <a:noFill/>
            </a:ln>
            <a:effectLst/>
          </c:spPr>
          <c:invertIfNegative val="0"/>
          <c:cat>
            <c:strRef>
              <c:f>Distributions!$CG$21:$CG$22</c:f>
              <c:strCache>
                <c:ptCount val="1"/>
              </c:strCache>
            </c:strRef>
          </c:cat>
          <c:val>
            <c:numRef>
              <c:f>Distributions!$CH$21:$CH$22</c:f>
              <c:numCache>
                <c:formatCode>[$¥-804]#,##0.00</c:formatCode>
                <c:ptCount val="1"/>
                <c:pt idx="0">
                  <c:v>691163050.29001021</c:v>
                </c:pt>
              </c:numCache>
            </c:numRef>
          </c:val>
        </c:ser>
        <c:ser>
          <c:idx val="1"/>
          <c:order val="1"/>
          <c:tx>
            <c:strRef>
              <c:f>Distributions!$CI$20</c:f>
              <c:strCache>
                <c:ptCount val="1"/>
                <c:pt idx="0">
                  <c:v>本金余额占比</c:v>
                </c:pt>
              </c:strCache>
            </c:strRef>
          </c:tx>
          <c:spPr>
            <a:solidFill>
              <a:schemeClr val="accent2"/>
            </a:solidFill>
            <a:ln>
              <a:noFill/>
            </a:ln>
            <a:effectLst/>
          </c:spPr>
          <c:invertIfNegative val="0"/>
          <c:cat>
            <c:strRef>
              <c:f>Distributions!$CG$21:$CG$22</c:f>
              <c:strCache>
                <c:ptCount val="1"/>
              </c:strCache>
            </c:strRef>
          </c:cat>
          <c:val>
            <c:numRef>
              <c:f>Distributions!$CI$21:$CI$22</c:f>
              <c:numCache>
                <c:formatCode>0.00%</c:formatCode>
                <c:ptCount val="1"/>
                <c:pt idx="0">
                  <c:v>1</c:v>
                </c:pt>
              </c:numCache>
            </c:numRef>
          </c:val>
        </c:ser>
        <c:ser>
          <c:idx val="2"/>
          <c:order val="2"/>
          <c:tx>
            <c:strRef>
              <c:f>Distributions!$CJ$20</c:f>
              <c:strCache>
                <c:ptCount val="1"/>
                <c:pt idx="0">
                  <c:v>贷款笔数占比</c:v>
                </c:pt>
              </c:strCache>
            </c:strRef>
          </c:tx>
          <c:spPr>
            <a:solidFill>
              <a:schemeClr val="accent3"/>
            </a:solidFill>
            <a:ln>
              <a:noFill/>
            </a:ln>
            <a:effectLst/>
          </c:spPr>
          <c:invertIfNegative val="0"/>
          <c:cat>
            <c:strRef>
              <c:f>Distributions!$CG$21:$CG$22</c:f>
              <c:strCache>
                <c:ptCount val="1"/>
              </c:strCache>
            </c:strRef>
          </c:cat>
          <c:val>
            <c:numRef>
              <c:f>Distributions!$CJ$21:$CJ$22</c:f>
              <c:numCache>
                <c:formatCode>#,##0_);\(#,##0\)</c:formatCode>
                <c:ptCount val="1"/>
                <c:pt idx="0">
                  <c:v>1468366</c:v>
                </c:pt>
              </c:numCache>
            </c:numRef>
          </c:val>
        </c:ser>
        <c:ser>
          <c:idx val="3"/>
          <c:order val="3"/>
          <c:tx>
            <c:strRef>
              <c:f>Distributions!$CK$20</c:f>
              <c:strCache>
                <c:ptCount val="1"/>
                <c:pt idx="0">
                  <c:v>贷款笔数占比</c:v>
                </c:pt>
              </c:strCache>
            </c:strRef>
          </c:tx>
          <c:spPr>
            <a:solidFill>
              <a:schemeClr val="accent4"/>
            </a:solidFill>
            <a:ln>
              <a:noFill/>
            </a:ln>
            <a:effectLst/>
          </c:spPr>
          <c:invertIfNegative val="0"/>
          <c:cat>
            <c:strRef>
              <c:f>Distributions!$CG$21:$CG$22</c:f>
              <c:strCache>
                <c:ptCount val="1"/>
              </c:strCache>
            </c:strRef>
          </c:cat>
          <c:val>
            <c:numRef>
              <c:f>Distributions!$CK$21:$CK$22</c:f>
              <c:numCache>
                <c:formatCode>0.00%</c:formatCode>
                <c:ptCount val="1"/>
                <c:pt idx="0">
                  <c:v>1</c:v>
                </c:pt>
              </c:numCache>
            </c:numRef>
          </c:val>
        </c:ser>
        <c:dLbls>
          <c:showLegendKey val="0"/>
          <c:showVal val="0"/>
          <c:showCatName val="0"/>
          <c:showSerName val="0"/>
          <c:showPercent val="0"/>
          <c:showBubbleSize val="0"/>
        </c:dLbls>
        <c:gapWidth val="219"/>
        <c:overlap val="-27"/>
        <c:axId val="273639872"/>
        <c:axId val="273644224"/>
      </c:barChart>
      <c:catAx>
        <c:axId val="273639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3644224"/>
        <c:crosses val="autoZero"/>
        <c:auto val="1"/>
        <c:lblAlgn val="ctr"/>
        <c:lblOffset val="100"/>
        <c:noMultiLvlLbl val="0"/>
      </c:catAx>
      <c:valAx>
        <c:axId val="2736442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36398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[PoolBase_Template.xlsm]Distributions!数据透视表8</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Distributions!$CN$20</c:f>
              <c:strCache>
                <c:ptCount val="1"/>
                <c:pt idx="0">
                  <c:v>本金余额</c:v>
                </c:pt>
              </c:strCache>
            </c:strRef>
          </c:tx>
          <c:spPr>
            <a:solidFill>
              <a:schemeClr val="accent1"/>
            </a:solidFill>
            <a:ln>
              <a:noFill/>
            </a:ln>
            <a:effectLst/>
          </c:spPr>
          <c:invertIfNegative val="0"/>
          <c:cat>
            <c:strRef>
              <c:f>Distributions!$CM$21:$CM$23</c:f>
              <c:strCache>
                <c:ptCount val="2"/>
                <c:pt idx="0">
                  <c:v>N</c:v>
                </c:pt>
                <c:pt idx="1">
                  <c:v>Y</c:v>
                </c:pt>
              </c:strCache>
            </c:strRef>
          </c:cat>
          <c:val>
            <c:numRef>
              <c:f>Distributions!$CN$21:$CN$23</c:f>
              <c:numCache>
                <c:formatCode>[$¥-804]#,##0.00</c:formatCode>
                <c:ptCount val="2"/>
                <c:pt idx="0">
                  <c:v>576414245.24000692</c:v>
                </c:pt>
                <c:pt idx="1">
                  <c:v>114748805.04999986</c:v>
                </c:pt>
              </c:numCache>
            </c:numRef>
          </c:val>
        </c:ser>
        <c:ser>
          <c:idx val="1"/>
          <c:order val="1"/>
          <c:tx>
            <c:strRef>
              <c:f>Distributions!$CO$20</c:f>
              <c:strCache>
                <c:ptCount val="1"/>
                <c:pt idx="0">
                  <c:v>本金余额占比</c:v>
                </c:pt>
              </c:strCache>
            </c:strRef>
          </c:tx>
          <c:spPr>
            <a:solidFill>
              <a:schemeClr val="accent2"/>
            </a:solidFill>
            <a:ln>
              <a:noFill/>
            </a:ln>
            <a:effectLst/>
          </c:spPr>
          <c:invertIfNegative val="0"/>
          <c:cat>
            <c:strRef>
              <c:f>Distributions!$CM$21:$CM$23</c:f>
              <c:strCache>
                <c:ptCount val="2"/>
                <c:pt idx="0">
                  <c:v>N</c:v>
                </c:pt>
                <c:pt idx="1">
                  <c:v>Y</c:v>
                </c:pt>
              </c:strCache>
            </c:strRef>
          </c:cat>
          <c:val>
            <c:numRef>
              <c:f>Distributions!$CO$21:$CO$23</c:f>
              <c:numCache>
                <c:formatCode>0.00%</c:formatCode>
                <c:ptCount val="2"/>
                <c:pt idx="0">
                  <c:v>0.83397722867005841</c:v>
                </c:pt>
                <c:pt idx="1">
                  <c:v>0.16602277132993665</c:v>
                </c:pt>
              </c:numCache>
            </c:numRef>
          </c:val>
        </c:ser>
        <c:ser>
          <c:idx val="2"/>
          <c:order val="2"/>
          <c:tx>
            <c:strRef>
              <c:f>Distributions!$CP$20</c:f>
              <c:strCache>
                <c:ptCount val="1"/>
                <c:pt idx="0">
                  <c:v>贷款笔数占比</c:v>
                </c:pt>
              </c:strCache>
            </c:strRef>
          </c:tx>
          <c:spPr>
            <a:solidFill>
              <a:schemeClr val="accent3"/>
            </a:solidFill>
            <a:ln>
              <a:noFill/>
            </a:ln>
            <a:effectLst/>
          </c:spPr>
          <c:invertIfNegative val="0"/>
          <c:cat>
            <c:strRef>
              <c:f>Distributions!$CM$21:$CM$23</c:f>
              <c:strCache>
                <c:ptCount val="2"/>
                <c:pt idx="0">
                  <c:v>N</c:v>
                </c:pt>
                <c:pt idx="1">
                  <c:v>Y</c:v>
                </c:pt>
              </c:strCache>
            </c:strRef>
          </c:cat>
          <c:val>
            <c:numRef>
              <c:f>Distributions!$CP$21:$CP$23</c:f>
              <c:numCache>
                <c:formatCode>#,##0_);\(#,##0\)</c:formatCode>
                <c:ptCount val="2"/>
                <c:pt idx="0">
                  <c:v>1241821</c:v>
                </c:pt>
                <c:pt idx="1">
                  <c:v>226545</c:v>
                </c:pt>
              </c:numCache>
            </c:numRef>
          </c:val>
        </c:ser>
        <c:ser>
          <c:idx val="3"/>
          <c:order val="3"/>
          <c:tx>
            <c:strRef>
              <c:f>Distributions!$CQ$20</c:f>
              <c:strCache>
                <c:ptCount val="1"/>
                <c:pt idx="0">
                  <c:v>贷款笔数占比</c:v>
                </c:pt>
              </c:strCache>
            </c:strRef>
          </c:tx>
          <c:spPr>
            <a:solidFill>
              <a:schemeClr val="accent4"/>
            </a:solidFill>
            <a:ln>
              <a:noFill/>
            </a:ln>
            <a:effectLst/>
          </c:spPr>
          <c:invertIfNegative val="0"/>
          <c:cat>
            <c:strRef>
              <c:f>Distributions!$CM$21:$CM$23</c:f>
              <c:strCache>
                <c:ptCount val="2"/>
                <c:pt idx="0">
                  <c:v>N</c:v>
                </c:pt>
                <c:pt idx="1">
                  <c:v>Y</c:v>
                </c:pt>
              </c:strCache>
            </c:strRef>
          </c:cat>
          <c:val>
            <c:numRef>
              <c:f>Distributions!$CQ$21:$CQ$23</c:f>
              <c:numCache>
                <c:formatCode>0.00%</c:formatCode>
                <c:ptCount val="2"/>
                <c:pt idx="0">
                  <c:v>0.84571625875292677</c:v>
                </c:pt>
                <c:pt idx="1">
                  <c:v>0.15428374124707328</c:v>
                </c:pt>
              </c:numCache>
            </c:numRef>
          </c:val>
        </c:ser>
        <c:dLbls>
          <c:showLegendKey val="0"/>
          <c:showVal val="0"/>
          <c:showCatName val="0"/>
          <c:showSerName val="0"/>
          <c:showPercent val="0"/>
          <c:showBubbleSize val="0"/>
        </c:dLbls>
        <c:gapWidth val="219"/>
        <c:overlap val="-27"/>
        <c:axId val="569749568"/>
        <c:axId val="569750112"/>
      </c:barChart>
      <c:catAx>
        <c:axId val="569749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750112"/>
        <c:crosses val="autoZero"/>
        <c:auto val="1"/>
        <c:lblAlgn val="ctr"/>
        <c:lblOffset val="100"/>
        <c:noMultiLvlLbl val="0"/>
      </c:catAx>
      <c:valAx>
        <c:axId val="56975011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749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[PoolBase_Template.xlsm]Distributions!数据透视表9</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Distributions!$CT$20</c:f>
              <c:strCache>
                <c:ptCount val="1"/>
                <c:pt idx="0">
                  <c:v>本金余额</c:v>
                </c:pt>
              </c:strCache>
            </c:strRef>
          </c:tx>
          <c:spPr>
            <a:solidFill>
              <a:schemeClr val="accent1"/>
            </a:solidFill>
            <a:ln>
              <a:noFill/>
            </a:ln>
            <a:effectLst/>
          </c:spPr>
          <c:invertIfNegative val="0"/>
          <c:cat>
            <c:strRef>
              <c:f>Distributions!$CS$21</c:f>
              <c:strCache>
                <c:ptCount val="1"/>
                <c:pt idx="0">
                  <c:v>总数</c:v>
                </c:pt>
              </c:strCache>
            </c:strRef>
          </c:cat>
          <c:val>
            <c:numRef>
              <c:f>Distributions!$CT$21</c:f>
              <c:numCache>
                <c:formatCode>[$¥-804]#,##0.00</c:formatCode>
                <c:ptCount val="1"/>
                <c:pt idx="0">
                  <c:v>691163050.29001021</c:v>
                </c:pt>
              </c:numCache>
            </c:numRef>
          </c:val>
        </c:ser>
        <c:ser>
          <c:idx val="1"/>
          <c:order val="1"/>
          <c:tx>
            <c:strRef>
              <c:f>Distributions!$CU$20</c:f>
              <c:strCache>
                <c:ptCount val="1"/>
                <c:pt idx="0">
                  <c:v>本金余额占比</c:v>
                </c:pt>
              </c:strCache>
            </c:strRef>
          </c:tx>
          <c:spPr>
            <a:solidFill>
              <a:schemeClr val="accent2"/>
            </a:solidFill>
            <a:ln>
              <a:noFill/>
            </a:ln>
            <a:effectLst/>
          </c:spPr>
          <c:invertIfNegative val="0"/>
          <c:cat>
            <c:strRef>
              <c:f>Distributions!$CS$21</c:f>
              <c:strCache>
                <c:ptCount val="1"/>
                <c:pt idx="0">
                  <c:v>总数</c:v>
                </c:pt>
              </c:strCache>
            </c:strRef>
          </c:cat>
          <c:val>
            <c:numRef>
              <c:f>Distributions!$CU$21</c:f>
              <c:numCache>
                <c:formatCode>0.00%</c:formatCode>
                <c:ptCount val="1"/>
                <c:pt idx="0">
                  <c:v>1</c:v>
                </c:pt>
              </c:numCache>
            </c:numRef>
          </c:val>
        </c:ser>
        <c:ser>
          <c:idx val="2"/>
          <c:order val="2"/>
          <c:tx>
            <c:strRef>
              <c:f>Distributions!$CV$20</c:f>
              <c:strCache>
                <c:ptCount val="1"/>
                <c:pt idx="0">
                  <c:v>贷款笔数占比</c:v>
                </c:pt>
              </c:strCache>
            </c:strRef>
          </c:tx>
          <c:spPr>
            <a:solidFill>
              <a:schemeClr val="accent3"/>
            </a:solidFill>
            <a:ln>
              <a:noFill/>
            </a:ln>
            <a:effectLst/>
          </c:spPr>
          <c:invertIfNegative val="0"/>
          <c:cat>
            <c:strRef>
              <c:f>Distributions!$CS$21</c:f>
              <c:strCache>
                <c:ptCount val="1"/>
                <c:pt idx="0">
                  <c:v>总数</c:v>
                </c:pt>
              </c:strCache>
            </c:strRef>
          </c:cat>
          <c:val>
            <c:numRef>
              <c:f>Distributions!$CV$21</c:f>
              <c:numCache>
                <c:formatCode>#,##0_);\(#,##0\)</c:formatCode>
                <c:ptCount val="1"/>
                <c:pt idx="0">
                  <c:v>1468366</c:v>
                </c:pt>
              </c:numCache>
            </c:numRef>
          </c:val>
        </c:ser>
        <c:ser>
          <c:idx val="3"/>
          <c:order val="3"/>
          <c:tx>
            <c:strRef>
              <c:f>Distributions!$CW$20</c:f>
              <c:strCache>
                <c:ptCount val="1"/>
                <c:pt idx="0">
                  <c:v>贷款笔数占比</c:v>
                </c:pt>
              </c:strCache>
            </c:strRef>
          </c:tx>
          <c:spPr>
            <a:solidFill>
              <a:schemeClr val="accent4"/>
            </a:solidFill>
            <a:ln>
              <a:noFill/>
            </a:ln>
            <a:effectLst/>
          </c:spPr>
          <c:invertIfNegative val="0"/>
          <c:cat>
            <c:strRef>
              <c:f>Distributions!$CS$21</c:f>
              <c:strCache>
                <c:ptCount val="1"/>
                <c:pt idx="0">
                  <c:v>总数</c:v>
                </c:pt>
              </c:strCache>
            </c:strRef>
          </c:cat>
          <c:val>
            <c:numRef>
              <c:f>Distributions!$CW$21</c:f>
              <c:numCache>
                <c:formatCode>0.00%</c:formatCode>
                <c:ptCount val="1"/>
                <c:pt idx="0">
                  <c:v>1</c:v>
                </c:pt>
              </c:numCache>
            </c:numRef>
          </c:val>
        </c:ser>
        <c:dLbls>
          <c:showLegendKey val="0"/>
          <c:showVal val="0"/>
          <c:showCatName val="0"/>
          <c:showSerName val="0"/>
          <c:showPercent val="0"/>
          <c:showBubbleSize val="0"/>
        </c:dLbls>
        <c:gapWidth val="219"/>
        <c:overlap val="-27"/>
        <c:axId val="564642544"/>
        <c:axId val="564643088"/>
      </c:barChart>
      <c:catAx>
        <c:axId val="564642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643088"/>
        <c:crosses val="autoZero"/>
        <c:auto val="1"/>
        <c:lblAlgn val="ctr"/>
        <c:lblOffset val="100"/>
        <c:noMultiLvlLbl val="0"/>
      </c:catAx>
      <c:valAx>
        <c:axId val="56464308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642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[PoolBase_Template.xlsm]Distributions!数据透视表10</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Distributions!$CZ$20</c:f>
              <c:strCache>
                <c:ptCount val="1"/>
                <c:pt idx="0">
                  <c:v>本金余额</c:v>
                </c:pt>
              </c:strCache>
            </c:strRef>
          </c:tx>
          <c:spPr>
            <a:solidFill>
              <a:schemeClr val="accent1"/>
            </a:solidFill>
            <a:ln>
              <a:noFill/>
            </a:ln>
            <a:effectLst/>
          </c:spPr>
          <c:invertIfNegative val="0"/>
          <c:cat>
            <c:strRef>
              <c:f>Distributions!$CY$21:$CY$22</c:f>
              <c:strCache>
                <c:ptCount val="1"/>
              </c:strCache>
            </c:strRef>
          </c:cat>
          <c:val>
            <c:numRef>
              <c:f>Distributions!$CZ$21:$CZ$22</c:f>
              <c:numCache>
                <c:formatCode>[$¥-804]#,##0.00</c:formatCode>
                <c:ptCount val="1"/>
                <c:pt idx="0">
                  <c:v>691163050.29001021</c:v>
                </c:pt>
              </c:numCache>
            </c:numRef>
          </c:val>
        </c:ser>
        <c:ser>
          <c:idx val="1"/>
          <c:order val="1"/>
          <c:tx>
            <c:strRef>
              <c:f>Distributions!$DA$20</c:f>
              <c:strCache>
                <c:ptCount val="1"/>
                <c:pt idx="0">
                  <c:v>本金余额占比</c:v>
                </c:pt>
              </c:strCache>
            </c:strRef>
          </c:tx>
          <c:spPr>
            <a:solidFill>
              <a:schemeClr val="accent2"/>
            </a:solidFill>
            <a:ln>
              <a:noFill/>
            </a:ln>
            <a:effectLst/>
          </c:spPr>
          <c:invertIfNegative val="0"/>
          <c:cat>
            <c:strRef>
              <c:f>Distributions!$CY$21:$CY$22</c:f>
              <c:strCache>
                <c:ptCount val="1"/>
              </c:strCache>
            </c:strRef>
          </c:cat>
          <c:val>
            <c:numRef>
              <c:f>Distributions!$DA$21:$DA$22</c:f>
              <c:numCache>
                <c:formatCode>0.00%</c:formatCode>
                <c:ptCount val="1"/>
                <c:pt idx="0">
                  <c:v>1</c:v>
                </c:pt>
              </c:numCache>
            </c:numRef>
          </c:val>
        </c:ser>
        <c:ser>
          <c:idx val="2"/>
          <c:order val="2"/>
          <c:tx>
            <c:strRef>
              <c:f>Distributions!$DB$20</c:f>
              <c:strCache>
                <c:ptCount val="1"/>
                <c:pt idx="0">
                  <c:v>贷款笔数占比</c:v>
                </c:pt>
              </c:strCache>
            </c:strRef>
          </c:tx>
          <c:spPr>
            <a:solidFill>
              <a:schemeClr val="accent3"/>
            </a:solidFill>
            <a:ln>
              <a:noFill/>
            </a:ln>
            <a:effectLst/>
          </c:spPr>
          <c:invertIfNegative val="0"/>
          <c:cat>
            <c:strRef>
              <c:f>Distributions!$CY$21:$CY$22</c:f>
              <c:strCache>
                <c:ptCount val="1"/>
              </c:strCache>
            </c:strRef>
          </c:cat>
          <c:val>
            <c:numRef>
              <c:f>Distributions!$DB$21:$DB$22</c:f>
              <c:numCache>
                <c:formatCode>#,##0_);\(#,##0\)</c:formatCode>
                <c:ptCount val="1"/>
                <c:pt idx="0">
                  <c:v>1468366</c:v>
                </c:pt>
              </c:numCache>
            </c:numRef>
          </c:val>
        </c:ser>
        <c:ser>
          <c:idx val="3"/>
          <c:order val="3"/>
          <c:tx>
            <c:strRef>
              <c:f>Distributions!$DC$20</c:f>
              <c:strCache>
                <c:ptCount val="1"/>
                <c:pt idx="0">
                  <c:v>贷款笔数占比</c:v>
                </c:pt>
              </c:strCache>
            </c:strRef>
          </c:tx>
          <c:spPr>
            <a:solidFill>
              <a:schemeClr val="accent4"/>
            </a:solidFill>
            <a:ln>
              <a:noFill/>
            </a:ln>
            <a:effectLst/>
          </c:spPr>
          <c:invertIfNegative val="0"/>
          <c:cat>
            <c:strRef>
              <c:f>Distributions!$CY$21:$CY$22</c:f>
              <c:strCache>
                <c:ptCount val="1"/>
              </c:strCache>
            </c:strRef>
          </c:cat>
          <c:val>
            <c:numRef>
              <c:f>Distributions!$DC$21:$DC$22</c:f>
              <c:numCache>
                <c:formatCode>0.00%</c:formatCode>
                <c:ptCount val="1"/>
                <c:pt idx="0">
                  <c:v>1</c:v>
                </c:pt>
              </c:numCache>
            </c:numRef>
          </c:val>
        </c:ser>
        <c:dLbls>
          <c:showLegendKey val="0"/>
          <c:showVal val="0"/>
          <c:showCatName val="0"/>
          <c:showSerName val="0"/>
          <c:showPercent val="0"/>
          <c:showBubbleSize val="0"/>
        </c:dLbls>
        <c:gapWidth val="219"/>
        <c:overlap val="-27"/>
        <c:axId val="564640912"/>
        <c:axId val="564638192"/>
      </c:barChart>
      <c:catAx>
        <c:axId val="564640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638192"/>
        <c:crosses val="autoZero"/>
        <c:auto val="1"/>
        <c:lblAlgn val="ctr"/>
        <c:lblOffset val="100"/>
        <c:noMultiLvlLbl val="0"/>
      </c:catAx>
      <c:valAx>
        <c:axId val="564638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64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4.emf"/><Relationship Id="rId3" Type="http://schemas.openxmlformats.org/officeDocument/2006/relationships/image" Target="../media/image8.emf"/><Relationship Id="rId7" Type="http://schemas.openxmlformats.org/officeDocument/2006/relationships/image" Target="../media/image12.emf"/><Relationship Id="rId12" Type="http://schemas.openxmlformats.org/officeDocument/2006/relationships/image" Target="../media/image1.emf"/><Relationship Id="rId2" Type="http://schemas.openxmlformats.org/officeDocument/2006/relationships/image" Target="../media/image7.emf"/><Relationship Id="rId1" Type="http://schemas.openxmlformats.org/officeDocument/2006/relationships/image" Target="../media/image3.emf"/><Relationship Id="rId6" Type="http://schemas.openxmlformats.org/officeDocument/2006/relationships/image" Target="../media/image11.emf"/><Relationship Id="rId11" Type="http://schemas.openxmlformats.org/officeDocument/2006/relationships/image" Target="../media/image2.emf"/><Relationship Id="rId5" Type="http://schemas.openxmlformats.org/officeDocument/2006/relationships/image" Target="../media/image10.emf"/><Relationship Id="rId15" Type="http://schemas.openxmlformats.org/officeDocument/2006/relationships/image" Target="../media/image15.emf"/><Relationship Id="rId10" Type="http://schemas.openxmlformats.org/officeDocument/2006/relationships/image" Target="../media/image6.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14</xdr:row>
          <xdr:rowOff>104775</xdr:rowOff>
        </xdr:from>
        <xdr:to>
          <xdr:col>2</xdr:col>
          <xdr:colOff>1819275</xdr:colOff>
          <xdr:row>14</xdr:row>
          <xdr:rowOff>419100</xdr:rowOff>
        </xdr:to>
        <xdr:sp macro="" textlink="">
          <xdr:nvSpPr>
            <xdr:cNvPr id="1035" name="btnptDistFiveClass"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15</xdr:row>
          <xdr:rowOff>104775</xdr:rowOff>
        </xdr:from>
        <xdr:to>
          <xdr:col>2</xdr:col>
          <xdr:colOff>1819275</xdr:colOff>
          <xdr:row>15</xdr:row>
          <xdr:rowOff>419100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114300</xdr:rowOff>
        </xdr:from>
        <xdr:to>
          <xdr:col>2</xdr:col>
          <xdr:colOff>1819275</xdr:colOff>
          <xdr:row>20</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20</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114298</xdr:colOff>
      <xdr:row>0</xdr:row>
      <xdr:rowOff>138112</xdr:rowOff>
    </xdr:from>
    <xdr:to>
      <xdr:col>4</xdr:col>
      <xdr:colOff>841055</xdr:colOff>
      <xdr:row>15</xdr:row>
      <xdr:rowOff>23812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123824</xdr:colOff>
      <xdr:row>0</xdr:row>
      <xdr:rowOff>138112</xdr:rowOff>
    </xdr:from>
    <xdr:to>
      <xdr:col>10</xdr:col>
      <xdr:colOff>850582</xdr:colOff>
      <xdr:row>15</xdr:row>
      <xdr:rowOff>23812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238125</xdr:colOff>
      <xdr:row>0</xdr:row>
      <xdr:rowOff>164306</xdr:rowOff>
    </xdr:from>
    <xdr:to>
      <xdr:col>16</xdr:col>
      <xdr:colOff>679133</xdr:colOff>
      <xdr:row>15</xdr:row>
      <xdr:rowOff>50006</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738187</xdr:colOff>
      <xdr:row>1</xdr:row>
      <xdr:rowOff>45243</xdr:rowOff>
    </xdr:from>
    <xdr:to>
      <xdr:col>21</xdr:col>
      <xdr:colOff>893445</xdr:colOff>
      <xdr:row>15</xdr:row>
      <xdr:rowOff>121443</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333376</xdr:colOff>
      <xdr:row>0</xdr:row>
      <xdr:rowOff>45243</xdr:rowOff>
    </xdr:from>
    <xdr:to>
      <xdr:col>28</xdr:col>
      <xdr:colOff>488633</xdr:colOff>
      <xdr:row>14</xdr:row>
      <xdr:rowOff>121443</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29</xdr:col>
      <xdr:colOff>952500</xdr:colOff>
      <xdr:row>0</xdr:row>
      <xdr:rowOff>188118</xdr:rowOff>
    </xdr:from>
    <xdr:to>
      <xdr:col>34</xdr:col>
      <xdr:colOff>631507</xdr:colOff>
      <xdr:row>15</xdr:row>
      <xdr:rowOff>73818</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36</xdr:col>
      <xdr:colOff>261938</xdr:colOff>
      <xdr:row>0</xdr:row>
      <xdr:rowOff>140493</xdr:rowOff>
    </xdr:from>
    <xdr:to>
      <xdr:col>41</xdr:col>
      <xdr:colOff>60008</xdr:colOff>
      <xdr:row>15</xdr:row>
      <xdr:rowOff>26193</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42</xdr:col>
      <xdr:colOff>0</xdr:colOff>
      <xdr:row>0</xdr:row>
      <xdr:rowOff>95250</xdr:rowOff>
    </xdr:from>
    <xdr:to>
      <xdr:col>46</xdr:col>
      <xdr:colOff>928688</xdr:colOff>
      <xdr:row>15</xdr:row>
      <xdr:rowOff>123825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47</xdr:col>
      <xdr:colOff>2256234</xdr:colOff>
      <xdr:row>0</xdr:row>
      <xdr:rowOff>0</xdr:rowOff>
    </xdr:from>
    <xdr:to>
      <xdr:col>52</xdr:col>
      <xdr:colOff>458390</xdr:colOff>
      <xdr:row>14</xdr:row>
      <xdr:rowOff>76200</xdr:rowOff>
    </xdr:to>
    <xdr:graphicFrame macro="">
      <xdr:nvGraphicFramePr>
        <xdr:cNvPr id="13" name="图表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53</xdr:col>
      <xdr:colOff>839390</xdr:colOff>
      <xdr:row>0</xdr:row>
      <xdr:rowOff>92868</xdr:rowOff>
    </xdr:from>
    <xdr:to>
      <xdr:col>58</xdr:col>
      <xdr:colOff>351234</xdr:colOff>
      <xdr:row>14</xdr:row>
      <xdr:rowOff>169068</xdr:rowOff>
    </xdr:to>
    <xdr:graphicFrame macro="">
      <xdr:nvGraphicFramePr>
        <xdr:cNvPr id="14" name="图表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60</xdr:col>
      <xdr:colOff>5954</xdr:colOff>
      <xdr:row>0</xdr:row>
      <xdr:rowOff>0</xdr:rowOff>
    </xdr:from>
    <xdr:to>
      <xdr:col>64</xdr:col>
      <xdr:colOff>470297</xdr:colOff>
      <xdr:row>14</xdr:row>
      <xdr:rowOff>76200</xdr:rowOff>
    </xdr:to>
    <xdr:graphicFrame macro="">
      <xdr:nvGraphicFramePr>
        <xdr:cNvPr id="15" name="图表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65</xdr:col>
      <xdr:colOff>863203</xdr:colOff>
      <xdr:row>0</xdr:row>
      <xdr:rowOff>0</xdr:rowOff>
    </xdr:from>
    <xdr:to>
      <xdr:col>70</xdr:col>
      <xdr:colOff>375047</xdr:colOff>
      <xdr:row>14</xdr:row>
      <xdr:rowOff>76200</xdr:rowOff>
    </xdr:to>
    <xdr:graphicFrame macro="">
      <xdr:nvGraphicFramePr>
        <xdr:cNvPr id="16" name="图表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71</xdr:col>
      <xdr:colOff>851296</xdr:colOff>
      <xdr:row>0</xdr:row>
      <xdr:rowOff>69057</xdr:rowOff>
    </xdr:from>
    <xdr:to>
      <xdr:col>76</xdr:col>
      <xdr:colOff>363140</xdr:colOff>
      <xdr:row>14</xdr:row>
      <xdr:rowOff>145257</xdr:rowOff>
    </xdr:to>
    <xdr:graphicFrame macro="">
      <xdr:nvGraphicFramePr>
        <xdr:cNvPr id="17" name="图表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77</xdr:col>
      <xdr:colOff>708421</xdr:colOff>
      <xdr:row>0</xdr:row>
      <xdr:rowOff>92868</xdr:rowOff>
    </xdr:from>
    <xdr:to>
      <xdr:col>82</xdr:col>
      <xdr:colOff>220265</xdr:colOff>
      <xdr:row>14</xdr:row>
      <xdr:rowOff>169068</xdr:rowOff>
    </xdr:to>
    <xdr:graphicFrame macro="">
      <xdr:nvGraphicFramePr>
        <xdr:cNvPr id="18" name="图表 1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83</xdr:col>
      <xdr:colOff>875109</xdr:colOff>
      <xdr:row>0</xdr:row>
      <xdr:rowOff>45243</xdr:rowOff>
    </xdr:from>
    <xdr:to>
      <xdr:col>88</xdr:col>
      <xdr:colOff>386952</xdr:colOff>
      <xdr:row>14</xdr:row>
      <xdr:rowOff>121443</xdr:rowOff>
    </xdr:to>
    <xdr:graphicFrame macro="">
      <xdr:nvGraphicFramePr>
        <xdr:cNvPr id="19" name="图表 1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90</xdr:col>
      <xdr:colOff>41671</xdr:colOff>
      <xdr:row>0</xdr:row>
      <xdr:rowOff>69057</xdr:rowOff>
    </xdr:from>
    <xdr:to>
      <xdr:col>94</xdr:col>
      <xdr:colOff>506015</xdr:colOff>
      <xdr:row>14</xdr:row>
      <xdr:rowOff>145257</xdr:rowOff>
    </xdr:to>
    <xdr:graphicFrame macro="">
      <xdr:nvGraphicFramePr>
        <xdr:cNvPr id="20" name="图表 1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96</xdr:col>
      <xdr:colOff>53578</xdr:colOff>
      <xdr:row>0</xdr:row>
      <xdr:rowOff>9524</xdr:rowOff>
    </xdr:from>
    <xdr:to>
      <xdr:col>100</xdr:col>
      <xdr:colOff>517922</xdr:colOff>
      <xdr:row>14</xdr:row>
      <xdr:rowOff>85724</xdr:rowOff>
    </xdr:to>
    <xdr:graphicFrame macro="">
      <xdr:nvGraphicFramePr>
        <xdr:cNvPr id="21" name="图表 2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101</xdr:col>
      <xdr:colOff>898922</xdr:colOff>
      <xdr:row>0</xdr:row>
      <xdr:rowOff>0</xdr:rowOff>
    </xdr:from>
    <xdr:to>
      <xdr:col>106</xdr:col>
      <xdr:colOff>410766</xdr:colOff>
      <xdr:row>14</xdr:row>
      <xdr:rowOff>76200</xdr:rowOff>
    </xdr:to>
    <xdr:graphicFrame macro="">
      <xdr:nvGraphicFramePr>
        <xdr:cNvPr id="22" name="图表 2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03.472994675925"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Loan].[Credit Risk Code].[Credit Risk Code]" caption="Credit Risk Code" numFmtId="0" hierarchy="109" level="1">
      <sharedItems count="1">
        <s v="[Loan].[Credit Risk Code].&amp;[]" c=""/>
      </sharedItems>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2" unbalanced="0">
      <fieldsUsage count="2">
        <fieldUsage x="-1"/>
        <fieldUsage x="7"/>
      </fieldsUsage>
    </cacheHierarchy>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View Fact Loan Customer Count]" caption="View Fact Loan Customer Count" measure="1" displayFolder="" measureGroup="View Fact Loan Customer" count="0"/>
    <cacheHierarchy uniqueName="[Measures].[Address Distinct Count]" caption="Address Distinct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03.473001388891"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Customer].[Credit Score Distribution].[Credit Score Distribution]" caption="Credit Score Distribution" numFmtId="0" hierarchy="13" level="1">
      <sharedItems containsSemiMixedTypes="0" containsString="0"/>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2" unbalanced="0">
      <fieldsUsage count="2">
        <fieldUsage x="-1"/>
        <fieldUsage x="7"/>
      </fieldsUsage>
    </cacheHierarchy>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View Fact Loan Customer Count]" caption="View Fact Loan Customer Count" measure="1" displayFolder="" measureGroup="View Fact Loan Customer" count="0"/>
    <cacheHierarchy uniqueName="[Measures].[Address Distinct Count]" caption="Address Distinct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03.473006134256"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Loan].[In Arrears Indicator].[In Arrears Indicator]" caption="In Arrears Indicator" numFmtId="0" hierarchy="120" level="1">
      <sharedItems count="2">
        <s v="[Loan].[In Arrears Indicator].&amp;[N]" c="N"/>
        <s v="[Loan].[In Arrears Indicator].&amp;[Y]" c="Y"/>
      </sharedItems>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2" unbalanced="0">
      <fieldsUsage count="2">
        <fieldUsage x="-1"/>
        <fieldUsage x="7"/>
      </fieldsUsage>
    </cacheHierarchy>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View Fact Loan Customer Count]" caption="View Fact Loan Customer Count" measure="1" displayFolder="" measureGroup="View Fact Loan Customer" count="0"/>
    <cacheHierarchy uniqueName="[Measures].[Address Distinct Count]" caption="Address Distinct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03.47301076389"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Loan].[Charge Date Type2].[Charge Date Type2]" caption="Charge Date Type2" numFmtId="0" hierarchy="108" level="1">
      <sharedItems count="1">
        <s v="[Loan].[Charge Date Type2].&amp;[]" c=""/>
      </sharedItems>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2" unbalanced="0">
      <fieldsUsage count="2">
        <fieldUsage x="-1"/>
        <fieldUsage x="7"/>
      </fieldsUsage>
    </cacheHierarchy>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View Fact Loan Customer Count]" caption="View Fact Loan Customer Count" measure="1" displayFolder="" measureGroup="View Fact Loan Customer" count="0"/>
    <cacheHierarchy uniqueName="[Measures].[Address Distinct Count]" caption="Address Distinct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03.473015509262"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Loan].[Payment Way].[Payment Way]" caption="Payment Way" numFmtId="0" hierarchy="123" level="1">
      <sharedItems count="1">
        <s v="[Loan].[Payment Way].&amp;[]" c=""/>
      </sharedItems>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2" unbalanced="0">
      <fieldsUsage count="2">
        <fieldUsage x="-1"/>
        <fieldUsage x="7"/>
      </fieldsUsage>
    </cacheHierarchy>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View Fact Loan Customer Count]" caption="View Fact Loan Customer Count" measure="1" displayFolder="" measureGroup="View Fact Loan Customer" count="0"/>
    <cacheHierarchy uniqueName="[Measures].[Address Distinct Count]" caption="Address Distinct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03.473020370373"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Loan].[Application Use].[Application Use]" caption="Application Use" numFmtId="0" hierarchy="107" level="1">
      <sharedItems count="1">
        <s v="[Loan].[Application Use].&amp;[]" c=""/>
      </sharedItems>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2" unbalanced="0">
      <fieldsUsage count="2">
        <fieldUsage x="-1"/>
        <fieldUsage x="7"/>
      </fieldsUsage>
    </cacheHierarchy>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View Fact Loan Customer Count]" caption="View Fact Loan Customer Count" measure="1" displayFolder="" measureGroup="View Fact Loan Customer" count="0"/>
    <cacheHierarchy uniqueName="[Measures].[Address Distinct Count]" caption="Address Distinct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03.473025231484"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Loan].[Application Site].[Application Site]" caption="Application Site" numFmtId="0" hierarchy="106" level="1">
      <sharedItems count="1">
        <s v="[Loan].[Application Site].&amp;[]" c=""/>
      </sharedItems>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2" unbalanced="0">
      <fieldsUsage count="2">
        <fieldUsage x="-1"/>
        <fieldUsage x="7"/>
      </fieldsUsage>
    </cacheHierarchy>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View Fact Loan Customer Count]" caption="View Fact Loan Customer Count" measure="1" displayFolder="" measureGroup="View Fact Loan Customer" count="0"/>
    <cacheHierarchy uniqueName="[Measures].[Address Distinct Count]" caption="Address Distinct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03.473031365742"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Customer].[Monthly Income].[Monthly Income]" caption="Monthly Income" numFmtId="0" hierarchy="28" level="1">
      <sharedItems containsSemiMixedTypes="0" containsString="0"/>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2" unbalanced="0">
      <fieldsUsage count="2">
        <fieldUsage x="-1"/>
        <fieldUsage x="7"/>
      </fieldsUsage>
    </cacheHierarchy>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View Fact Loan Customer Count]" caption="View Fact Loan Customer Count" measure="1" displayFolder="" measureGroup="View Fact Loan Customer" count="0"/>
    <cacheHierarchy uniqueName="[Measures].[Address Distinct Count]" caption="Address Distinct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03.473038194446"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Customer].[Education].[Education]" caption="Education" numFmtId="0" hierarchy="21" level="1">
      <sharedItems containsSemiMixedTypes="0" containsString="0"/>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2" unbalanced="0">
      <fieldsUsage count="2">
        <fieldUsage x="-1"/>
        <fieldUsage x="7"/>
      </fieldsUsage>
    </cacheHierarchy>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View Fact Loan Customer Count]" caption="View Fact Loan Customer Count" measure="1" displayFolder="" measureGroup="View Fact Loan Customer" count="0"/>
    <cacheHierarchy uniqueName="[Measures].[Address Distinct Count]" caption="Address Distinct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03.473044907405"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Customer].[Marital Status].[Marital Status]" caption="Marital Status" numFmtId="0" hierarchy="26" level="1">
      <sharedItems containsSemiMixedTypes="0" containsString="0"/>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2" unbalanced="0">
      <fieldsUsage count="2">
        <fieldUsage x="-1"/>
        <fieldUsage x="7"/>
      </fieldsUsage>
    </cacheHierarchy>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View Fact Loan Customer Count]" caption="View Fact Loan Customer Count" measure="1" displayFolder="" measureGroup="View Fact Loan Customer" count="0"/>
    <cacheHierarchy uniqueName="[Measures].[Address Distinct Count]" caption="Address Distinct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03.473050115739"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64" level="32767"/>
    <cacheField name="[Measures].[Loan Count]" caption="Loan Count" numFmtId="0" hierarchy="176" level="32767"/>
    <cacheField name="[Current Rate Distribution].[Distributions Desc].[Distributions Desc]" caption="Distributions Desc" numFmtId="0" level="1" mappingCount="1">
      <sharedItems count="17">
        <s v="[Current Rate Distribution].[Distributions Desc].&amp;[0（含）% - 0.1（不含）%]" c="0（含）% - 0.1（不含）%" cp="1">
          <x/>
        </s>
        <s v="[Current Rate Distribution].[Distributions Desc].&amp;[0.1（含）% - 0.2（不含）%]" c="0.1（含）% - 0.2（不含）%" cp="1">
          <x v="1"/>
        </s>
        <s v="[Current Rate Distribution].[Distributions Desc].&amp;[0.2（含）% - 0.3（不含）%]" c="0.2（含）% - 0.3（不含）%" cp="1">
          <x v="2"/>
        </s>
        <s v="[Current Rate Distribution].[Distributions Desc].&amp;[0.3（含）% - 0.4（不含）%]" c="0.3（含）% - 0.4（不含）%" cp="1">
          <x v="3"/>
        </s>
        <s v="[Current Rate Distribution].[Distributions Desc].&amp;[0.4（含）% - 0.5（不含）%]" c="0.4（含）% - 0.5（不含）%" cp="1">
          <x v="4"/>
        </s>
        <s v="[Current Rate Distribution].[Distributions Desc].&amp;[0.5（含）% - 0.6（不含）%]" c="0.5（含）% - 0.6（不含）%" cp="1">
          <x v="5"/>
        </s>
        <s v="[Current Rate Distribution].[Distributions Desc].&amp;[0.6（含）% - 0.7（不含）%]" c="0.6（含）% - 0.7（不含）%" cp="1">
          <x v="6"/>
        </s>
        <s v="[Current Rate Distribution].[Distributions Desc].&amp;[0.7（含）% - 0.8（不含）%]" c="0.7（含）% - 0.8（不含）%" cp="1">
          <x v="7"/>
        </s>
        <s v="[Current Rate Distribution].[Distributions Desc].&amp;[0.8（含）% - 0.9（不含）%]" c="0.8（含）% - 0.9（不含）%" cp="1">
          <x v="8"/>
        </s>
        <s v="[Current Rate Distribution].[Distributions Desc].&amp;[0.9（含）% - 1（不含）%]" c="0.9（含）% - 1（不含）%" cp="1">
          <x v="9"/>
        </s>
        <s v="[Current Rate Distribution].[Distributions Desc].&amp;[1（含）% - 1.1（不含）%]" c="1（含）% - 1.1（不含）%" cp="1">
          <x v="10"/>
        </s>
        <s v="[Current Rate Distribution].[Distributions Desc].&amp;[1.2（含）% - 1.3（不含）%]" c="1.2（含）% - 1.3（不含）%" cp="1">
          <x v="11"/>
        </s>
        <s v="[Current Rate Distribution].[Distributions Desc].&amp;[1.5（含）% - 1.6（不含）%]" c="1.5（含）% - 1.6（不含）%" cp="1">
          <x v="12"/>
        </s>
        <s v="[Current Rate Distribution].[Distributions Desc].&amp;[2.4（含）% - 2.5（不含）%]" c="2.4（含）% - 2.5（不含）%" cp="1">
          <x v="13"/>
        </s>
        <s v="[Current Rate Distribution].[Distributions Desc].&amp;[2.5（含）% - 2.6（不含）%]" c="2.5（含）% - 2.6（不含）%" cp="1">
          <x v="14"/>
        </s>
        <s v="[Current Rate Distribution].[Distributions Desc].&amp;[6（含）% - 6.1（不含）%]" c="6（含）% - 6.1（不含）%" cp="1">
          <x v="15"/>
        </s>
        <s v="[Current Rate Distribution].[Distributions Desc].&amp;[11.5（含）% - 11.6（不含）%]" c="11.5（含）% - 11.6（不含）%" cp="1">
          <x v="16"/>
        </s>
      </sharedItems>
      <mpMap v="3"/>
    </cacheField>
    <cacheField name="[Current Rate Distribution].[Distributions Desc].[Distributions Desc].[Sort Key]" caption="Sort Key" propertyName="Sort Key" numFmtId="0" level="1" memberPropertyField="1">
      <sharedItems containsSemiMixedTypes="0" containsString="0" containsNumber="1" containsInteger="1" minValue="10" maxValue="1160" count="17">
        <n v="10"/>
        <n v="20"/>
        <n v="30"/>
        <n v="40"/>
        <n v="50"/>
        <n v="60"/>
        <n v="70"/>
        <n v="80"/>
        <n v="90"/>
        <n v="100"/>
        <n v="110"/>
        <n v="130"/>
        <n v="160"/>
        <n v="250"/>
        <n v="260"/>
        <n v="610"/>
        <n v="1160"/>
      </sharedItems>
    </cacheField>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View Fact Loan Customer Count]" caption="View Fact Loan Customer Count" measure="1" displayFolder="" measureGroup="View Fact Loan Customer" count="0"/>
    <cacheHierarchy uniqueName="[Measures].[Address Distinct Count]" caption="Address Distinct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03.473055439812" backgroundQuery="1" createdVersion="5" refreshedVersion="5" minRefreshableVersion="3" recordCount="0" supportSubquery="1" supportAdvancedDrill="1">
  <cacheSource type="external" connectionId="1"/>
  <cacheFields count="10">
    <cacheField name="[Loan].[Product Type].[Product Type]" caption="Product Type" numFmtId="0" hierarchy="127" level="1">
      <sharedItems count="1">
        <s v="[Loan].[Product Type].&amp;[]" c=""/>
      </sharedItems>
    </cacheField>
    <cacheField name="[Measures].[Loan Count]" caption="Loan Count" numFmtId="0" hierarchy="176" level="32767"/>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View Dim EC Pass].[EC Pass No].[EC Pass No]" caption="EC Pass No" numFmtId="0" hierarchy="149" level="1">
      <sharedItems containsSemiMixedTypes="0" containsString="0"/>
    </cacheField>
    <cacheField name="[Measures].[Current Principal Balance]" caption="Current Principal Balance" numFmtId="0" hierarchy="164" level="32767"/>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2" unbalanced="0">
      <fieldsUsage count="2">
        <fieldUsage x="-1"/>
        <fieldUsage x="0"/>
      </fieldsUsage>
    </cacheHierarchy>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6"/>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View Fact Loan Customer Count]" caption="View Fact Loan Customer Count" measure="1" displayFolder="" measureGroup="View Fact Loan Customer" count="0"/>
    <cacheHierarchy uniqueName="[Measures].[Address Distinct Count]" caption="Address Distinct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7"/>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03.473057986113" backgroundQuery="1" createdVersion="5" refreshedVersion="5" minRefreshableVersion="3" recordCount="0" supportSubquery="1" supportAdvancedDrill="1">
  <cacheSource type="external" connectionId="1"/>
  <cacheFields count="9">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View Fact Loan Customer Count]" caption="View Fact Loan Customer Count" measure="1" displayFolder="" measureGroup="View Fact Loan Customer" count="0"/>
    <cacheHierarchy uniqueName="[Measures].[Address Distinct Count]" caption="Address Distinct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03.473062847224"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156" level="32767"/>
    <cacheField name="[Pool].[Dim Pool ID].[Dim Pool ID]" caption="Dim Pool ID" numFmtId="0" hierarchy="135" level="1" mappingCount="3">
      <sharedItems count="3">
        <s v="[Pool].[Dim Pool ID].&amp;[260]" c="260" cp="3">
          <x/>
          <x/>
          <x/>
        </s>
        <s v="[Pool].[Dim Pool ID].&amp;[261]" c="261" cp="3">
          <x/>
          <x/>
          <x v="1"/>
        </s>
        <s v="[Pool].[Dim Pool ID].&amp;[262]" c="262" cp="3">
          <x/>
          <x/>
          <x v="1"/>
        </s>
      </sharedItems>
      <mpMap v="2"/>
      <mpMap v="3"/>
      <mpMap v="4"/>
    </cacheField>
    <cacheField name="[Pool].[Dim Pool ID].[Dim Pool ID].[Dim Organisation ID]" caption="Dim Organisation ID" propertyName="Dim Organisation ID" numFmtId="0" hierarchy="135"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135" level="1" memberPropertyField="1">
      <sharedItems containsSemiMixedTypes="0" containsString="0" containsNumber="1" containsInteger="1" minValue="20160504" maxValue="20160504" count="1">
        <n v="20160504"/>
      </sharedItems>
    </cacheField>
    <cacheField name="[Pool].[Dim Pool ID].[Dim Pool ID].[Target Sql Connection]" caption="Target Sql Connection" propertyName="Target Sql Connection" numFmtId="0" hierarchy="135" level="1" memberPropertyField="1">
      <sharedItems count="2">
        <s v="Data Source=DAL_SEC;Initial Catalog=Job_2_20160504_260;Integrated Security=SSPI;"/>
        <s v="Server=DAL_SEC;Database=Job_2_20160504_260;Trusted_Connection=True;"/>
      </sharedItems>
    </cacheField>
    <cacheField name="[EC].[Criteria ID].[Criteria ID]" caption="Criteria ID" numFmtId="0" hierarchy="99" level="1" mappingCount="6">
      <sharedItems count="4">
        <s v="[EC].[Criteria ID].&amp;[260]&amp;[11009]" c="JD-EC20-Seasoning" cp="6">
          <x/>
          <x/>
          <x/>
          <x/>
          <x/>
          <x/>
        </s>
        <s v="[EC].[Criteria ID].&amp;[260]&amp;[11010]" c="JD_EC04_LoanEndDate" cp="6">
          <x v="1"/>
          <x/>
          <x/>
          <x/>
          <x/>
          <x v="1"/>
        </s>
        <s v="[EC].[Criteria ID].&amp;[261]&amp;[11014]" c="ECT1_Targeting_Parent" cp="6">
          <x v="2"/>
          <x/>
          <x/>
          <x v="1"/>
          <x v="1"/>
          <x v="2"/>
        </s>
        <s v="[EC].[Criteria ID].&amp;[262]&amp;[11015]" c="ECT2_Targeting_Size" cp="6">
          <x v="3"/>
          <x/>
          <x/>
          <x v="1"/>
          <x v="2"/>
          <x v="3"/>
        </s>
      </sharedItems>
      <mpMap v="6"/>
      <mpMap v="7"/>
      <mpMap v="8"/>
      <mpMap v="9"/>
      <mpMap v="10"/>
      <mpMap v="11"/>
    </cacheField>
    <cacheField name="[EC].[Criteria ID].[Criteria ID].[Criteria Description]" caption="Criteria Description" propertyName="Criteria Description" numFmtId="0" hierarchy="99" level="1" memberPropertyField="1">
      <sharedItems count="4">
        <s v="排除较短开始期的贷款"/>
        <s v="排除贷款截止日期无效的贷款"/>
        <s v="统计属性目标化"/>
        <s v="待销售资产池目标化"/>
      </sharedItems>
    </cacheField>
    <cacheField name="[EC].[Criteria ID].[Criteria ID].[Criteria Report Type]" caption="Criteria Report Type" propertyName="Criteria Report Type" numFmtId="0" hierarchy="99" level="1" memberPropertyField="1">
      <sharedItems count="1">
        <s v="Loan EC Report"/>
      </sharedItems>
    </cacheField>
    <cacheField name="[EC].[Criteria ID].[Criteria ID].[Criteria Set]" caption="Criteria Set" propertyName="Criteria Set" numFmtId="0" hierarchy="99" level="1" memberPropertyField="1">
      <sharedItems count="1">
        <s v="ECSetNZDDefault"/>
      </sharedItems>
    </cacheField>
    <cacheField name="[EC].[Criteria ID].[Criteria ID].[Criteria Type]" caption="Criteria Type" propertyName="Criteria Type" numFmtId="0" hierarchy="99" level="1" memberPropertyField="1">
      <sharedItems count="2">
        <s v="Product"/>
        <s v="Targeting"/>
      </sharedItems>
    </cacheField>
    <cacheField name="[EC].[Criteria ID].[Criteria ID].[EC Pass]" caption="EC Pass" propertyName="EC Pass" numFmtId="0" hierarchy="99" level="1" memberPropertyField="1">
      <sharedItems count="3">
        <s v="ECPass1"/>
        <s v="TargetingPass"/>
        <s v="ChildPass"/>
      </sharedItems>
    </cacheField>
    <cacheField name="[EC].[Criteria ID].[Criteria ID].[Sequence No]" caption="Sequence No" propertyName="Sequence No" numFmtId="0" hierarchy="99" level="1" memberPropertyField="1">
      <sharedItems containsSemiMixedTypes="0" containsString="0" containsNumber="1" containsInteger="1" minValue="1" maxValue="7" count="4">
        <n v="1"/>
        <n v="2"/>
        <n v="6"/>
        <n v="7"/>
      </sharedItems>
    </cacheField>
    <cacheField name="[View Dim EC Pass].[EC Pass No].[EC Pass No]" caption="EC Pass No" numFmtId="0" hierarchy="149" level="1">
      <sharedItems containsSemiMixedTypes="0" containsString="0"/>
    </cacheField>
    <cacheField name="[Measures].[Tbl Fact Customer EC Result Count]" caption="Tbl Fact Customer EC Result Count" numFmtId="0" hierarchy="190" level="32767"/>
  </cacheFields>
  <cacheHierarchies count="205">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View Fact Loan Customer Count]" caption="View Fact Loan Customer Count" measure="1" displayFolder="" measureGroup="View Fact Loan Customer" count="0"/>
    <cacheHierarchy uniqueName="[Measures].[Address Distinct Count]" caption="Address Distinct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03.473065046295" backgroundQuery="1" createdVersion="5" refreshedVersion="5" minRefreshableVersion="3" recordCount="0" supportSubquery="1" supportAdvancedDrill="1">
  <cacheSource type="external" connectionId="1"/>
  <cacheFields count="6">
    <cacheField name="[Measures].[Fact Report Count]" caption="Fact Report Count" numFmtId="0" hierarchy="189" level="32767"/>
    <cacheField name="[Dimension Function].[Report ID].[Report ID]" caption="Report ID" numFmtId="0" hierarchy="95" level="1">
      <sharedItems count="2">
        <s v="[Dimension Function].[Report ID].&amp;[2]" c="现金流归集报表"/>
        <s v="[Dimension Function].[Report ID].&amp;[1]" c="评级机构资产池详细报表"/>
      </sharedItems>
    </cacheField>
    <cacheField name="[Pool].[Dim Pool ID].[Dim Pool ID]" caption="Dim Pool ID" numFmtId="0" hierarchy="135" level="1" mappingCount="3">
      <sharedItems count="3">
        <s v="[Pool].[Dim Pool ID].&amp;[260]" c="260" cp="3">
          <x/>
          <x/>
          <x/>
        </s>
        <s v="[Pool].[Dim Pool ID].&amp;[261]" c="261" cp="3">
          <x/>
          <x/>
          <x v="1"/>
        </s>
        <s v="[Pool].[Dim Pool ID].&amp;[262]" c="262" cp="3">
          <x/>
          <x/>
          <x v="1"/>
        </s>
      </sharedItems>
      <mpMap v="3"/>
      <mpMap v="4"/>
      <mpMap v="5"/>
    </cacheField>
    <cacheField name="[Pool].[Dim Pool ID].[Dim Pool ID].[Dim Organisation ID]" caption="Dim Organisation ID" propertyName="Dim Organisation ID" numFmtId="0" hierarchy="135"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135" level="1" memberPropertyField="1">
      <sharedItems containsSemiMixedTypes="0" containsString="0" containsNumber="1" containsInteger="1" minValue="20160504" maxValue="20160504" count="1">
        <n v="20160504"/>
      </sharedItems>
    </cacheField>
    <cacheField name="[Pool].[Dim Pool ID].[Dim Pool ID].[Target Sql Connection]" caption="Target Sql Connection" propertyName="Target Sql Connection" numFmtId="0" hierarchy="135" level="1" memberPropertyField="1">
      <sharedItems count="2">
        <s v="Data Source=DAL_SEC;Initial Catalog=Job_2_20160504_260;Integrated Security=SSPI;"/>
        <s v="Server=DAL_SEC;Database=Job_2_20160504_260;Trusted_Connection=True;"/>
      </sharedItems>
    </cacheField>
  </cacheFields>
  <cacheHierarchies count="205">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View Fact Loan Customer Count]" caption="View Fact Loan Customer Count" measure="1" displayFolder="" measureGroup="View Fact Loan Customer" count="0"/>
    <cacheHierarchy uniqueName="[Measures].[Address Distinct Count]" caption="Address Distinct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oneField="1">
      <fieldsUsage count="1">
        <fieldUsage x="0"/>
      </fieldsUsage>
    </cacheHierarchy>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03.473070717591" backgroundQuery="1" createdVersion="5" refreshedVersion="5" minRefreshableVersion="3" recordCount="0" supportSubquery="1" supportAdvancedDrill="1">
  <cacheSource type="external" connectionId="1"/>
  <cacheFields count="11">
    <cacheField name="[Loan Term Distribution].[Distributions Desc].[Distributions Desc]" caption="Distributions Desc" numFmtId="0" hierarchy="131" level="1" mappingCount="1">
      <sharedItems count="4">
        <s v="[Loan Term Distribution].[Distributions Desc].&amp;[0-3 个月]" c="0-3 个月" cp="1">
          <x/>
        </s>
        <s v="[Loan Term Distribution].[Distributions Desc].&amp;[3-6 个月]" c="3-6 个月" cp="1">
          <x v="1"/>
        </s>
        <s v="[Loan Term Distribution].[Distributions Desc].&amp;[9-12 个月]" c="9-12 个月" cp="1">
          <x v="2"/>
        </s>
        <s v="[Loan Term Distribution].[Distributions Desc].&amp;[21-24 个月]" c="21-24 个月" cp="1">
          <x v="3"/>
        </s>
      </sharedItems>
      <mpMap v="1"/>
    </cacheField>
    <cacheField name="[Loan Term Distribution].[Distributions Desc].[Distributions Desc].[Sort Key]" caption="Sort Key" propertyName="Sort Key" numFmtId="0" hierarchy="131" level="1" memberPropertyField="1">
      <sharedItems containsSemiMixedTypes="0" containsString="0" containsNumber="1" containsInteger="1" minValue="0" maxValue="45" count="4">
        <n v="0"/>
        <n v="10"/>
        <n v="20"/>
        <n v="45"/>
      </sharedItems>
    </cacheField>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View Fact Loan Customer Count]" caption="View Fact Loan Customer Count" measure="1" displayFolder="" measureGroup="View Fact Loan Customer" count="0"/>
    <cacheHierarchy uniqueName="[Measures].[Address Distinct Count]" caption="Address Distinct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2"/>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3"/>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03.473075925926"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64" level="32767"/>
    <cacheField name="[Measures].[Loan Count]" caption="Loan Count" numFmtId="0" hierarchy="176" level="32767"/>
    <cacheField name="[Principal Balance Distribution].[Distributions Desc].[Distributions Desc]" caption="Distributions Desc" numFmtId="0" hierarchy="138" level="1" mappingCount="1">
      <sharedItems count="19">
        <s v="[Principal Balance Distribution].[Distributions Desc].&amp;[0元 - 1000元]" c="0元 - 1000元" cp="1">
          <x/>
        </s>
        <s v="[Principal Balance Distribution].[Distributions Desc].&amp;[1000元 - 2000元]" c="1000元 - 2000元" cp="1">
          <x v="1"/>
        </s>
        <s v="[Principal Balance Distribution].[Distributions Desc].&amp;[2000元 - 3000元]" c="2000元 - 3000元" cp="1">
          <x v="2"/>
        </s>
        <s v="[Principal Balance Distribution].[Distributions Desc].&amp;[3000元 - 4000元]" c="3000元 - 4000元" cp="1">
          <x v="3"/>
        </s>
        <s v="[Principal Balance Distribution].[Distributions Desc].&amp;[4000元 - 5000元]" c="4000元 - 5000元" cp="1">
          <x v="4"/>
        </s>
        <s v="[Principal Balance Distribution].[Distributions Desc].&amp;[5000元 - 6000元]" c="5000元 - 6000元" cp="1">
          <x v="5"/>
        </s>
        <s v="[Principal Balance Distribution].[Distributions Desc].&amp;[6000元 - 7000元]" c="6000元 - 7000元" cp="1">
          <x v="6"/>
        </s>
        <s v="[Principal Balance Distribution].[Distributions Desc].&amp;[7000元 - 8000元]" c="7000元 - 8000元" cp="1">
          <x v="7"/>
        </s>
        <s v="[Principal Balance Distribution].[Distributions Desc].&amp;[8000元 - 9000元]" c="8000元 - 9000元" cp="1">
          <x v="8"/>
        </s>
        <s v="[Principal Balance Distribution].[Distributions Desc].&amp;[9000元 - 10000元]" c="9000元 - 10000元" cp="1">
          <x v="9"/>
        </s>
        <s v="[Principal Balance Distribution].[Distributions Desc].&amp;[10000元 - 11000元]" c="10000元 - 11000元" cp="1">
          <x v="10"/>
        </s>
        <s v="[Principal Balance Distribution].[Distributions Desc].&amp;[11000元 - 12000元]" c="11000元 - 12000元" cp="1">
          <x v="11"/>
        </s>
        <s v="[Principal Balance Distribution].[Distributions Desc].&amp;[12000元 - 13000元]" c="12000元 - 13000元" cp="1">
          <x v="12"/>
        </s>
        <s v="[Principal Balance Distribution].[Distributions Desc].&amp;[13000元 - 14000元]" c="13000元 - 14000元" cp="1">
          <x v="13"/>
        </s>
        <s v="[Principal Balance Distribution].[Distributions Desc].&amp;[14000元 - 15000元]" c="14000元 - 15000元" cp="1">
          <x v="14"/>
        </s>
        <s v="[Principal Balance Distribution].[Distributions Desc].&amp;[15000元 - 16000元]" c="15000元 - 16000元" cp="1">
          <x v="15"/>
        </s>
        <s v="[Principal Balance Distribution].[Distributions Desc].&amp;[16000元 - 17000元]" c="16000元 - 17000元" cp="1">
          <x v="16"/>
        </s>
        <s v="[Principal Balance Distribution].[Distributions Desc].&amp;[17000元 - 18000元]" c="17000元 - 18000元" cp="1">
          <x v="17"/>
        </s>
        <s v="[Principal Balance Distribution].[Distributions Desc].&amp;[19000元 - 20000元]" c="19000元 - 20000元" cp="1">
          <x v="18"/>
        </s>
      </sharedItems>
      <mpMap v="3"/>
    </cacheField>
    <cacheField name="[Principal Balance Distribution].[Distributions Desc].[Distributions Desc].[Sort Key]" caption="Sort Key" propertyName="Sort Key" numFmtId="0" hierarchy="138" level="1" memberPropertyField="1">
      <sharedItems containsSemiMixedTypes="0" containsString="0" containsNumber="1" containsInteger="1" minValue="10" maxValue="200" count="19">
        <n v="10"/>
        <n v="20"/>
        <n v="30"/>
        <n v="40"/>
        <n v="50"/>
        <n v="60"/>
        <n v="70"/>
        <n v="80"/>
        <n v="90"/>
        <n v="100"/>
        <n v="110"/>
        <n v="120"/>
        <n v="130"/>
        <n v="140"/>
        <n v="150"/>
        <n v="160"/>
        <n v="170"/>
        <n v="180"/>
        <n v="200"/>
      </sharedItems>
    </cacheField>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View Fact Loan Customer Count]" caption="View Fact Loan Customer Count" measure="1" displayFolder="" measureGroup="View Fact Loan Customer" count="0"/>
    <cacheHierarchy uniqueName="[Measures].[Address Distinct Count]" caption="Address Distinct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03.473078240742" backgroundQuery="1" createdVersion="5" refreshedVersion="5" minRefreshableVersion="3" recordCount="0" supportSubquery="1" supportAdvancedDrill="1">
  <cacheSource type="external" connectionId="1"/>
  <cacheFields count="9">
    <cacheField name="[Measures].[Current Principal Balance]" caption="Current Principal Balance" numFmtId="0" hierarchy="164" level="32767"/>
    <cacheField name="[Measures].[Loan Count]" caption="Loan Count" numFmtId="0" hierarchy="176" level="32767"/>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View Fact Loan Customer Count]" caption="View Fact Loan Customer Count" measure="1" displayFolder="" measureGroup="View Fact Loan Customer" count="0"/>
    <cacheHierarchy uniqueName="[Measures].[Address Distinct Count]" caption="Address Distinct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03.473079861113" backgroundQuery="1" createdVersion="4" refreshedVersion="5" minRefreshableVersion="3" recordCount="0" supportSubquery="1" supportAdvancedDrill="1">
  <cacheSource type="external" connectionId="1"/>
  <cacheFields count="5">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View Dim EC Pass].[EC Pass No].[EC Pass No]" caption="EC Pass No" numFmtId="0" hierarchy="149" level="1">
      <sharedItems containsSemiMixedTypes="0" containsString="0"/>
    </cacheField>
  </cacheFields>
  <cacheHierarchies count="205">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View Fact Loan Customer Count]" caption="View Fact Loan Customer Count" measure="1" displayFolder="" measureGroup="View Fact Loan Customer" count="0"/>
    <cacheHierarchy uniqueName="[Measures].[Address Distinct Count]" caption="Address Distinct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03.473084375"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64" level="32767"/>
    <cacheField name="[Measures].[Loan Count]" caption="Loan Count" numFmtId="0" hierarchy="176" level="32767"/>
    <cacheField name="[Remaining Term Distribution].[Distributions Desc].[Distributions Desc]" caption="Distributions Desc" numFmtId="0" hierarchy="141" level="1" mappingCount="1">
      <sharedItems count="8">
        <s v="[Remaining Term Distribution].[Distributions Desc].&amp;[0-3 个月]" c="0-3 个月" cp="1">
          <x/>
        </s>
        <s v="[Remaining Term Distribution].[Distributions Desc].&amp;[3-6 个月]" c="3-6 个月" cp="1">
          <x v="1"/>
        </s>
        <s v="[Remaining Term Distribution].[Distributions Desc].&amp;[6-9 个月]" c="6-9 个月" cp="1">
          <x v="2"/>
        </s>
        <s v="[Remaining Term Distribution].[Distributions Desc].&amp;[9-12 个月]" c="9-12 个月" cp="1">
          <x v="3"/>
        </s>
        <s v="[Remaining Term Distribution].[Distributions Desc].&amp;[12-15 个月]" c="12-15 个月" cp="1">
          <x v="4"/>
        </s>
        <s v="[Remaining Term Distribution].[Distributions Desc].&amp;[15-18 个月]" c="15-18 个月" cp="1">
          <x v="5"/>
        </s>
        <s v="[Remaining Term Distribution].[Distributions Desc].&amp;[18-21 个月]" c="18-21 个月" cp="1">
          <x v="6"/>
        </s>
        <s v="[Remaining Term Distribution].[Distributions Desc].&amp;[21-24 个月]" c="21-24 个月" cp="1">
          <x v="7"/>
        </s>
      </sharedItems>
      <mpMap v="3"/>
    </cacheField>
    <cacheField name="[Remaining Term Distribution].[Distributions Desc].[Distributions Desc].[Sort Key]" caption="Sort Key" propertyName="Sort Key" numFmtId="0" hierarchy="141" level="1" memberPropertyField="1">
      <sharedItems containsSemiMixedTypes="0" containsString="0" containsNumber="1" containsInteger="1" minValue="0" maxValue="45" count="8">
        <n v="0"/>
        <n v="10"/>
        <n v="15"/>
        <n v="20"/>
        <n v="25"/>
        <n v="30"/>
        <n v="40"/>
        <n v="45"/>
      </sharedItems>
    </cacheField>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View Fact Loan Customer Count]" caption="View Fact Loan Customer Count" measure="1" displayFolder="" measureGroup="View Fact Loan Customer" count="0"/>
    <cacheHierarchy uniqueName="[Measures].[Address Distinct Count]" caption="Address Distinct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03.473089467596"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64" level="32767"/>
    <cacheField name="[Measures].[Loan Count]" caption="Loan Count" numFmtId="0" hierarchy="176" level="32767"/>
    <cacheField name="[Seasoning Distribution].[Distributions Desc].[Distributions Desc]" caption="Distributions Desc" numFmtId="0" hierarchy="144" level="1" mappingCount="1">
      <sharedItems count="5">
        <s v="[Seasoning Distribution].[Distributions Desc].&amp;[0-3 个月]" c="0-3 个月" cp="1">
          <x/>
        </s>
        <s v="[Seasoning Distribution].[Distributions Desc].&amp;[6-9 个月]" c="6-9 个月" cp="1">
          <x v="1"/>
        </s>
        <s v="[Seasoning Distribution].[Distributions Desc].&amp;[12-15 个月]" c="12-15 个月" cp="1">
          <x v="2"/>
        </s>
        <s v="[Seasoning Distribution].[Distributions Desc].&amp;[18-21 个月]" c="18-21 个月" cp="1">
          <x v="3"/>
        </s>
        <s v="[Seasoning Distribution].[Distributions Desc].&amp;[24-30 个月]" c="24-30 个月" cp="1">
          <x v="4"/>
        </s>
      </sharedItems>
      <mpMap v="3"/>
    </cacheField>
    <cacheField name="[Seasoning Distribution].[Distributions Desc].[Distributions Desc].[Sort Key]" caption="Sort Key" propertyName="Sort Key" numFmtId="0" hierarchy="144" level="1" memberPropertyField="1">
      <sharedItems containsSemiMixedTypes="0" containsString="0" containsNumber="1" containsInteger="1" minValue="0" maxValue="50" count="5">
        <n v="0"/>
        <n v="15"/>
        <n v="25"/>
        <n v="40"/>
        <n v="50"/>
      </sharedItems>
    </cacheField>
    <cacheField name="[View Dim EC Pass].[EC Pass No].[EC Pass No]" caption="EC Pass No" numFmtId="0" hierarchy="149" level="1">
      <sharedItems containsSemiMixedTypes="0" containsString="0"/>
    </cacheField>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Dummy0" numFmtId="0" hierarchy="205" level="32767">
      <extLst>
        <ext xmlns:x14="http://schemas.microsoft.com/office/spreadsheetml/2009/9/main" uri="{63CAB8AC-B538-458d-9737-405883B0398D}">
          <x14:cacheField ignore="1"/>
        </ext>
      </extLst>
    </cacheField>
    <cacheField name="Dummy1" numFmtId="0" hierarchy="206" level="32767">
      <extLst>
        <ext xmlns:x14="http://schemas.microsoft.com/office/spreadsheetml/2009/9/main" uri="{63CAB8AC-B538-458d-9737-405883B0398D}">
          <x14:cacheField ignore="1"/>
        </ext>
      </extLst>
    </cacheField>
  </cacheFields>
  <cacheHierarchies count="207">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View Fact Loan Customer Count]" caption="View Fact Loan Customer Count" measure="1" displayFolder="" measureGroup="View Fact Loan Customer" count="0"/>
    <cacheHierarchy uniqueName="[Measures].[Address Distinct Count]" caption="Address Distinct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03.474064930553" backgroundQuery="1" createdVersion="5" refreshedVersion="5" minRefreshableVersion="3" recordCount="0" supportSubquery="1" supportAdvancedDrill="1">
  <cacheSource type="external" connectionId="1"/>
  <cacheFields count="25">
    <cacheField name="[Measures].[Current Principal Balance]" caption="Current Principal Balance" numFmtId="0" hierarchy="164" level="32767"/>
    <cacheField name="[Measures].[Approval Amount]" caption="Approval Amount" numFmtId="0" hierarchy="163" level="32767"/>
    <cacheField name="[Measures].[Loan Count]" caption="Loan Count" numFmtId="0" hierarchy="176" level="32767"/>
    <cacheField name="[Measures].[Average Loan Balance]" caption="Average Loan Balance" numFmtId="0" hierarchy="195" level="32767"/>
    <cacheField name="[Measures].[Average Approval Amount]" caption="Average Approval Amount" numFmtId="0" hierarchy="196" level="32767"/>
    <cacheField name="[Measures].[Weighted Average Current Rate]" caption="Weighted Average Current Rate" numFmtId="0" hierarchy="197" level="32767"/>
    <cacheField name="[Measures].[Weighted Average Term]" caption="Weighted Average Term" numFmtId="0" hierarchy="200" level="32767"/>
    <cacheField name="[Measures].[Weighted Average Term To Maturity]" caption="Weighted Average Term To Maturity" numFmtId="0" hierarchy="201" level="32767"/>
    <cacheField name="[Measures].[Weighted Average Seasoning]" caption="Weighted Average Seasoning" numFmtId="0" hierarchy="199" level="32767"/>
    <cacheField name="[Pool].[Dim Pool ID].[Dim Pool ID]" caption="Dim Pool ID" numFmtId="0" hierarchy="135" level="1">
      <sharedItems containsSemiMixedTypes="0" containsString="0"/>
    </cacheField>
    <cacheField name="[Pool].[Dim Pool ID].[Dim Pool ID].[Dim Organisation ID]" caption="Dim Organisation ID" propertyName="Dim Organisation ID" numFmtId="0" hierarchy="135" level="1" memberPropertyField="1">
      <sharedItems containsSemiMixedTypes="0" containsString="0"/>
    </cacheField>
    <cacheField name="[Pool].[Dim Pool ID].[Dim Pool ID].[Dim Reporting Date ID]" caption="Dim Reporting Date ID" propertyName="Dim Reporting Date ID" numFmtId="0" hierarchy="135" level="1" memberPropertyField="1">
      <sharedItems containsSemiMixedTypes="0" containsString="0"/>
    </cacheField>
    <cacheField name="[Pool].[Dim Pool ID].[Dim Pool ID].[Target Sql Connection]" caption="Target Sql Connection" propertyName="Target Sql Connection" numFmtId="0" hierarchy="135" level="1" memberPropertyField="1">
      <sharedItems containsSemiMixedTypes="0" containsString="0"/>
    </cacheField>
    <cacheField name="[View Dim EC Pass].[EC Pass No].[EC Pass No]" caption="EC Pass No" numFmtId="0" hierarchy="149" level="1">
      <sharedItems containsSemiMixedTypes="0" containsString="0"/>
    </cacheField>
    <cacheField name="[Measures].[Weighted Average Current Rate Target]" caption="Weighted Average Current Rate Target" numFmtId="0" hierarchy="191" level="32767"/>
    <cacheField name="[Measures].[Maximum Approval Amount]" caption="Maximum Approval Amount" numFmtId="0" hierarchy="178" level="32767"/>
    <cacheField name="[Measures].[Maximum Current Principal Balance]" caption="Maximum Current Principal Balance" numFmtId="0" hierarchy="177" level="32767"/>
    <cacheField name="[Measures].[Maximum Current Rate]" caption="Maximum Current Rate" numFmtId="0" hierarchy="179" level="32767"/>
    <cacheField name="[Measures].[Maximum Remaining Term]" caption="Maximum Remaining Term" numFmtId="0" hierarchy="180" level="32767"/>
    <cacheField name="[Measures].[Minimum Remaining Term]" caption="Minimum Remaining Term" numFmtId="0" hierarchy="181" level="32767"/>
    <cacheField name="[Measures].[No Fee Approval Amount Percentage]" caption="No Fee Approval Amount Percentage" numFmtId="0" hierarchy="202" level="32767"/>
    <cacheField name="[Measures].[Top5CustomerLoanAmount]" caption="Top5CustomerLoanAmount" numFmtId="0" hierarchy="204" level="32767"/>
    <cacheField name="[Measures].[Service Charge Rate]" caption="Service Charge Rate" numFmtId="0" hierarchy="185" level="32767"/>
    <cacheField name="[Measures].[Formalities Charge Rate]" caption="Formalities Charge Rate" numFmtId="0" hierarchy="184" level="32767"/>
    <cacheField name="[Measures].[Address Distinct Count]" caption="Address Distinct Count" numFmtId="0" hierarchy="153" level="32767"/>
  </cacheFields>
  <cacheHierarchies count="205">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9"/>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3"/>
      </fieldsUsage>
    </cacheHierarchy>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View Fact Loan Customer Count]" caption="View Fact Loan Customer Count" measure="1" displayFolder="" measureGroup="View Fact Loan Customer" count="0"/>
    <cacheHierarchy uniqueName="[Measures].[Address Distinct Count]" caption="Address Distinct Count" measure="1" displayFolder="" measureGroup="View Fact Loan Customer" count="0" oneField="1">
      <fieldsUsage count="1">
        <fieldUsage x="24"/>
      </fieldsUsage>
    </cacheHierarchy>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oneField="1">
      <fieldsUsage count="1">
        <fieldUsage x="1"/>
      </fieldsUsage>
    </cacheHierarchy>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2"/>
      </fieldsUsage>
    </cacheHierarchy>
    <cacheHierarchy uniqueName="[Measures].[Maximum Current Principal Balance]" caption="Maximum Current Principal Balance" measure="1" displayFolder="" measureGroup="View Fact Loan" count="0" oneField="1">
      <fieldsUsage count="1">
        <fieldUsage x="16"/>
      </fieldsUsage>
    </cacheHierarchy>
    <cacheHierarchy uniqueName="[Measures].[Maximum Approval Amount]" caption="Maximum Approval Amount" measure="1" displayFolder="" measureGroup="View Fact Loan" count="0" oneField="1">
      <fieldsUsage count="1">
        <fieldUsage x="15"/>
      </fieldsUsage>
    </cacheHierarchy>
    <cacheHierarchy uniqueName="[Measures].[Maximum Current Rate]" caption="Maximum Current Rate" measure="1" displayFolder="" measureGroup="View Fact Loan" count="0" oneField="1">
      <fieldsUsage count="1">
        <fieldUsage x="17"/>
      </fieldsUsage>
    </cacheHierarchy>
    <cacheHierarchy uniqueName="[Measures].[Maximum Remaining Term]" caption="Maximum Remaining Term" measure="1" displayFolder="" measureGroup="View Fact Loan" count="0" oneField="1">
      <fieldsUsage count="1">
        <fieldUsage x="18"/>
      </fieldsUsage>
    </cacheHierarchy>
    <cacheHierarchy uniqueName="[Measures].[Minimum Remaining Term]" caption="Minimum Remaining Term" measure="1" displayFolder="" measureGroup="View Fact Loan" count="0" oneField="1">
      <fieldsUsage count="1">
        <fieldUsage x="19"/>
      </fieldsUsage>
    </cacheHierarchy>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oneField="1">
      <fieldsUsage count="1">
        <fieldUsage x="23"/>
      </fieldsUsage>
    </cacheHierarchy>
    <cacheHierarchy uniqueName="[Measures].[Service Charge Rate]" caption="Service Charge Rate" measure="1" displayFolder="" measureGroup="View Fact Loan" count="0" oneField="1">
      <fieldsUsage count="1">
        <fieldUsage x="22"/>
      </fieldsUsage>
    </cacheHierarchy>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oneField="1">
      <fieldsUsage count="1">
        <fieldUsage x="14"/>
      </fieldsUsage>
    </cacheHierarchy>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oneField="1">
      <fieldsUsage count="1">
        <fieldUsage x="3"/>
      </fieldsUsage>
    </cacheHierarchy>
    <cacheHierarchy uniqueName="[Measures].[Average Approval Amount]" caption="Average Approval Amount" measure="1" displayFolder="" measureGroup="View Fact Loan" count="0" oneField="1">
      <fieldsUsage count="1">
        <fieldUsage x="4"/>
      </fieldsUsage>
    </cacheHierarchy>
    <cacheHierarchy uniqueName="[Measures].[Weighted Average Current Rate]" caption="Weighted Average Current Rate" measure="1" displayFolder="" measureGroup="View Fact Loan" count="0" oneField="1">
      <fieldsUsage count="1">
        <fieldUsage x="5"/>
      </fieldsUsage>
    </cacheHierarchy>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oneField="1">
      <fieldsUsage count="1">
        <fieldUsage x="8"/>
      </fieldsUsage>
    </cacheHierarchy>
    <cacheHierarchy uniqueName="[Measures].[Weighted Average Term]" caption="Weighted Average Term" measure="1" displayFolder="" measureGroup="View Fact Loan" count="0" oneField="1">
      <fieldsUsage count="1">
        <fieldUsage x="6"/>
      </fieldsUsage>
    </cacheHierarchy>
    <cacheHierarchy uniqueName="[Measures].[Weighted Average Term To Maturity]" caption="Weighted Average Term To Maturity" measure="1" displayFolder="" measureGroup="View Fact Loan" count="0" oneField="1">
      <fieldsUsage count="1">
        <fieldUsage x="7"/>
      </fieldsUsage>
    </cacheHierarchy>
    <cacheHierarchy uniqueName="[Measures].[No Fee Approval Amount Percentage]" caption="No Fee Approval Amount Percentage" measure="1" displayFolder="" measureGroup="View Fact Loan" count="0" oneField="1">
      <fieldsUsage count="1">
        <fieldUsage x="20"/>
      </fieldsUsage>
    </cacheHierarchy>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oneField="1">
      <fieldsUsage count="1">
        <fieldUsage x="21"/>
      </fieldsUsage>
    </cacheHierarchy>
  </cacheHierarchies>
  <kpis count="0"/>
  <dimensions count="19">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Credit Score Distributions" uniqueName="[View Credit Score Distributions]" caption="View Credit Score Distributions"/>
    <dimension name="View Dim EC Pass" uniqueName="[View Dim EC Pass]" caption="View Dim EC Pass"/>
    <dimension name="View Monthly Income Distributions" uniqueName="[View Monthly Income Distributions]" caption="View Monthly Income Distributions"/>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55">
    <map measureGroup="0" dimension="6"/>
    <map measureGroup="1" dimension="1"/>
    <map measureGroup="1" dimension="5"/>
    <map measureGroup="1" dimension="12"/>
    <map measureGroup="1" dimension="17"/>
    <map measureGroup="2" dimension="4"/>
    <map measureGroup="2" dimension="5"/>
    <map measureGroup="2" dimension="12"/>
    <map measureGroup="2" dimension="17"/>
    <map measureGroup="3" dimension="1"/>
    <map measureGroup="3" dimension="5"/>
    <map measureGroup="3" dimension="8"/>
    <map measureGroup="3" dimension="12"/>
    <map measureGroup="3" dimension="17"/>
    <map measureGroup="4" dimension="5"/>
    <map measureGroup="4" dimension="12"/>
    <map measureGroup="4" dimension="17"/>
    <map measureGroup="5" dimension="5"/>
    <map measureGroup="5" dimension="12"/>
    <map measureGroup="5" dimension="17"/>
    <map measureGroup="6" dimension="5"/>
    <map measureGroup="6" dimension="8"/>
    <map measureGroup="6" dimension="9"/>
    <map measureGroup="6" dimension="12"/>
    <map measureGroup="6" dimension="17"/>
    <map measureGroup="7" dimension="5"/>
    <map measureGroup="7" dimension="12"/>
    <map measureGroup="7" dimension="17"/>
    <map measureGroup="8" dimension="0"/>
    <map measureGroup="8" dimension="1"/>
    <map measureGroup="8" dimension="2"/>
    <map measureGroup="8" dimension="3"/>
    <map measureGroup="8" dimension="5"/>
    <map measureGroup="8" dimension="8"/>
    <map measureGroup="8" dimension="9"/>
    <map measureGroup="8" dimension="10"/>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5"/>
    <map measureGroup="9" dimension="9"/>
    <map measureGroup="9" dimension="12"/>
    <map measureGroup="9" dimension="16"/>
    <map measureGroup="9" dimension="17"/>
    <map measureGroup="9" dimension="18"/>
    <map measureGroup="10" dimension="4"/>
    <map measureGroup="10" dimension="5"/>
    <map measureGroup="10" dimension="12"/>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03.473060300923"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205">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redit Limit]" caption="Credit Limit" attribute="1" defaultMemberUniqueName="[Customer].[Credit Limit].[All]" allUniqueName="[Customer].[Credit Limit].[All]" dimensionUniqueName="[Customer]" displayFolder="" count="0" unbalanced="0"/>
    <cacheHierarchy uniqueName="[Customer].[Credit Rating]" caption="Credit Rating" attribute="1" defaultMemberUniqueName="[Customer].[Credit Rating].[All]" allUniqueName="[Customer].[Credit Rating].[All]" dimensionUniqueName="[Customer]" displayFolder="" count="0" unbalanced="0"/>
    <cacheHierarchy uniqueName="[Customer].[Credit Score Distribution]" caption="Credit Score Distribution" attribute="1" defaultMemberUniqueName="[Customer].[Credit Score Distribution].[All]" allUniqueName="[Customer].[Credit Score Distribution].[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Education]" caption="Education" attribute="1" defaultMemberUniqueName="[Customer].[Education].[All]" allUniqueName="[Customer].[Education].[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Historical Days In Arrears]" caption="Historical Days In Arrears" attribute="1" defaultMemberUniqueName="[Customer].[Historical Days In Arrears].[All]" allUniqueName="[Customer].[Historical Days In Arrears].[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Marital Status]" caption="Marital Status" attribute="1" defaultMemberUniqueName="[Customer].[Marital Status].[All]" allUniqueName="[Customer].[Marital Status].[All]" dimensionUniqueName="[Customer]" displayFolder="" count="0" unbalanced="0"/>
    <cacheHierarchy uniqueName="[Customer].[Max Days In Arrears]" caption="Max Days In Arrears" attribute="1" defaultMemberUniqueName="[Customer].[Max Days In Arrears].[All]" allUniqueName="[Customer].[Max Days In Arrears].[All]" dimensionUniqueName="[Customer]" displayFolder="" count="0" unbalanced="0"/>
    <cacheHierarchy uniqueName="[Customer].[Monthly Income]" caption="Monthly Income" attribute="1" defaultMemberUniqueName="[Customer].[Monthly Income].[All]" allUniqueName="[Customer].[Monthly Income].[All]" dimensionUniqueName="[Customer]" displayFolder="" count="0" unbalanced="0"/>
    <cacheHierarchy uniqueName="[Customer].[Monthly Income Distribution]" caption="Monthly Income Distribution" attribute="1" defaultMemberUniqueName="[Customer].[Monthly Income Distribution].[All]" allUniqueName="[Customer].[Monthly Income Distribution].[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Customer].[Times In Arrears]" caption="Times In Arrears" attribute="1" defaultMemberUniqueName="[Customer].[Times In Arrears].[All]" allUniqueName="[Customer].[Times In Arrears].[All]" dimensionUniqueName="[Customer]" displayFolder="" count="0" unbalanced="0"/>
    <cacheHierarchy uniqueName="[Customer].[User Level]" caption="User Level" attribute="1" defaultMemberUniqueName="[Customer].[User Level].[All]" allUniqueName="[Customer].[User Level].[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pplication Site]" caption="Dim Loan.Application Site" attribute="1" defaultMemberUniqueName="[Dim Loan].[Application Site].[All]" allUniqueName="[Dim Loan].[Application Site].[All]" dimensionUniqueName="[Dim Loan]" displayFolder="" count="0" unbalanced="0"/>
    <cacheHierarchy uniqueName="[Dim Loan].[Application Use]" caption="Dim Loan.Application Use" attribute="1" defaultMemberUniqueName="[Dim Loan].[Application Use].[All]" allUniqueName="[Dim Loan].[Application Use].[All]" dimensionUniqueName="[Dim Loan]" displayFolder="" count="0" unbalanced="0"/>
    <cacheHierarchy uniqueName="[Dim Loan].[Charge Date Type2]" caption="Dim Loan.Charge Date Type2" attribute="1" defaultMemberUniqueName="[Dim Loan].[Charge Date Type2].[All]" allUniqueName="[Dim Loan].[Charge Date Type2].[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Payment Way]" caption="Dim Loan.Payment Way" attribute="1" defaultMemberUniqueName="[Dim Loan].[Payment Way].[All]" allUniqueName="[Dim Loan].[Payment Way].[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pplication Site]" caption="Dim Pool.Application Site" attribute="1" defaultMemberUniqueName="[Dim Pool].[Application Site].[All]" allUniqueName="[Dim Pool].[Application Site].[All]" dimensionUniqueName="[Dim Pool]" displayFolder="" count="0" unbalanced="0"/>
    <cacheHierarchy uniqueName="[Dim Pool].[Application Use]" caption="Dim Pool.Application Use" attribute="1" defaultMemberUniqueName="[Dim Pool].[Application Use].[All]" allUniqueName="[Dim Pool].[Application Use].[All]" dimensionUniqueName="[Dim Pool]" displayFolder="" count="0" unbalanced="0"/>
    <cacheHierarchy uniqueName="[Dim Pool].[Charge Date Type2]" caption="Dim Pool.Charge Date Type2" attribute="1" defaultMemberUniqueName="[Dim Pool].[Charge Date Type2].[All]" allUniqueName="[Dim Pool].[Charge Date Type2].[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Payment Way]" caption="Dim Pool.Payment Way" attribute="1" defaultMemberUniqueName="[Dim Pool].[Payment Way].[All]" allUniqueName="[Dim Pool].[Payment Way].[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Loan.Account No" attribute="1" defaultMemberUniqueName="[Loan].[Account No].[All]" allUniqueName="[Loan].[Account No].[All]" dimensionUniqueName="[Loan]" displayFolder="" count="0" unbalanced="0"/>
    <cacheHierarchy uniqueName="[Loan].[Application Site]" caption="Loan.Application Site" attribute="1" defaultMemberUniqueName="[Loan].[Application Site].[All]" allUniqueName="[Loan].[Application Site].[All]" dimensionUniqueName="[Loan]" displayFolder="" count="0" unbalanced="0"/>
    <cacheHierarchy uniqueName="[Loan].[Application Use]" caption="Loan.Application Use" attribute="1" defaultMemberUniqueName="[Loan].[Application Use].[All]" allUniqueName="[Loan].[Application Use].[All]" dimensionUniqueName="[Loan]" displayFolder="" count="0" unbalanced="0"/>
    <cacheHierarchy uniqueName="[Loan].[Charge Date Type2]" caption="Loan.Charge Date Type2" attribute="1" defaultMemberUniqueName="[Loan].[Charge Date Type2].[All]" allUniqueName="[Loan].[Charge Date Type2].[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Payment Way]" caption="Loan.Payment Way" attribute="1" defaultMemberUniqueName="[Loan].[Payment Way].[All]" allUniqueName="[Loan].[Payment Way].[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Status]" caption="Loan.Status" attribute="1" defaultMemberUniqueName="[Loan].[Status].[All]" allUniqueName="[Loan].[Status].[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Credit Score Distributions].[Credit Score]" caption="Credit Score" attribute="1" defaultMemberUniqueName="[View Credit Score Distributions].[Credit Score].[All]" allUniqueName="[View Credit Score Distributions].[Credit Score].[All]" dimensionUniqueName="[View Credit Score Distributions]" displayFolder="" count="0" unbalanced="0"/>
    <cacheHierarchy uniqueName="[View Credit Score Distributions].[Distributions ID]" caption="Distributions ID" attribute="1" keyAttribute="1" defaultMemberUniqueName="[View Credit Score Distributions].[Distributions ID].[All]" allUniqueName="[View Credit Score Distributions].[Distributions ID].[All]" dimensionUniqueName="[View Credit Score Distributions]"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Monthly Income Distributions].[Distributions ID]" caption="Distributions ID" attribute="1" keyAttribute="1" defaultMemberUniqueName="[View Monthly Income Distributions].[Distributions ID].[All]" allUniqueName="[View Monthly Income Distributions].[Distributions ID].[All]" dimensionUniqueName="[View Monthly Income Distributions]" displayFolder="" count="0" unbalanced="0"/>
    <cacheHierarchy uniqueName="[View Monthly Income Distributions].[Monthly Income]" caption="Monthly Income" attribute="1" defaultMemberUniqueName="[View Monthly Income Distributions].[Monthly Income].[All]" allUniqueName="[View Monthly Income Distributions].[Monthly Income].[All]" dimensionUniqueName="[View Monthly Income Distributions]" displayFolder="" count="0" unbalanced="0"/>
    <cacheHierarchy uniqueName="[Measures].[View Fact Loan Customer Count]" caption="View Fact Loan Customer Count" measure="1" displayFolder="" measureGroup="View Fact Loan Customer" count="0"/>
    <cacheHierarchy uniqueName="[Measures].[Address Distinct Count]" caption="Address Distinct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im Organisation ID]" caption="Dim Organisation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ormalities Charge Rate]" caption="Formalities Charge Rate" measure="1" displayFolder="" measureGroup="View Fact Loan" count="0"/>
    <cacheHierarchy uniqueName="[Measures].[Service Charge Rate]" caption="Service Charge Rate" measure="1" displayFolder="" measureGroup="View Fact Loan" count="0"/>
    <cacheHierarchy uniqueName="[Measures].[Times In Arrears]" caption="Times In Arrears" measure="1" displayFolder="" measureGroup="View Fact Loan" count="0"/>
    <cacheHierarchy uniqueName="[Measures].[Historical Days In Arrears]" caption="Historical Days In Arrears" measure="1" displayFolder="" measureGroup="View Fact Loan" count="0"/>
    <cacheHierarchy uniqueName="[Measures].[Max Days In Arrears]" caption="Max Days In Arrears"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Weighted Average Current Rate Target]" caption="Weighted Average Current Rate Target" measure="1" displayFolder="" measureGroup="View Fact Loan"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Annual]" caption="Weighted Average Current Rate Annual"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No Fee Approval Amount Percentage]" caption="No Fee Approval Amount Percentage" measure="1" displayFolder="" measureGroup="View Fact Loan" count="0"/>
    <cacheHierarchy uniqueName="[Measures].[Number Of Customer Sectors]" caption="Number Of Customer Sectors" measure="1" displayFolder="" measureGroup="View Fact Loan" count="0"/>
    <cacheHierarchy uniqueName="[Measures].[Top5CustomerLoanAmount]" caption="Top5CustomerLoanAmount" measure="1" displayFolder="" measureGroup="View Fact Loan" count="0"/>
  </cacheHierarchies>
  <kpis count="0"/>
  <extLst>
    <ext xmlns:x14="http://schemas.microsoft.com/office/spreadsheetml/2009/9/main" uri="{725AE2AE-9491-48be-B2B4-4EB974FC3084}">
      <x14:pivotCacheDefinition slicerData="1" pivotCacheId="14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pivotTable1.xml><?xml version="1.0" encoding="utf-8"?>
<pivotTableDefinition xmlns="http://schemas.openxmlformats.org/spreadsheetml/2006/main" name="ptFilter" cacheId="262"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135" name="[Pool].[Dim Pool ID].[All]" cap="All"/>
    <pageField fld="4" hier="149" name="[View Dim EC Pass].[EC Pass No].&amp;[ECPass3]" cap="ECPass3"/>
  </pageFields>
  <pivotHierarchies count="205">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283"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B24" firstHeaderRow="1" firstDataRow="1" firstDataCol="1" rowPageCount="2" colPageCount="1"/>
  <pivotFields count="25">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rowItems count="20">
    <i>
      <x/>
    </i>
    <i i="1">
      <x v="1"/>
    </i>
    <i i="2">
      <x v="2"/>
    </i>
    <i i="3">
      <x v="3"/>
    </i>
    <i i="4">
      <x v="4"/>
    </i>
    <i i="5">
      <x v="5"/>
    </i>
    <i i="6">
      <x v="6"/>
    </i>
    <i i="7">
      <x v="7"/>
    </i>
    <i i="8">
      <x v="8"/>
    </i>
    <i i="9">
      <x v="9"/>
    </i>
    <i i="10">
      <x v="10"/>
    </i>
    <i i="11">
      <x v="11"/>
    </i>
    <i i="12">
      <x v="12"/>
    </i>
    <i i="13">
      <x v="13"/>
    </i>
    <i i="14">
      <x v="14"/>
    </i>
    <i i="15">
      <x v="15"/>
    </i>
    <i i="16">
      <x v="16"/>
    </i>
    <i i="17">
      <x v="17"/>
    </i>
    <i i="18">
      <x v="18"/>
    </i>
    <i i="19">
      <x v="19"/>
    </i>
  </rowItems>
  <colItems count="1">
    <i/>
  </colItems>
  <pageFields count="2">
    <pageField fld="9" hier="135" name="[Pool].[Dim Pool ID].[All]" cap="All"/>
    <pageField fld="13" hier="149" name="[View Dim EC Pass].[EC Pass No].&amp;[ECPass3]" cap="ECPass3"/>
  </pageFields>
  <dataFields count="20">
    <dataField name="资产池未偿本金余额总额" fld="0" baseField="0" baseItem="0" numFmtId="166"/>
    <dataField name="合同总金额" fld="1" baseField="0" baseItem="0"/>
    <dataField name="贷款笔数" fld="2" baseField="0" baseItem="0"/>
    <dataField name="平均本金余额" fld="3" baseField="0" baseItem="0"/>
    <dataField name="平均合同金额" fld="4" baseField="0" baseItem="0"/>
    <dataField name="加权平均贷款月利率" fld="5" baseField="0" baseItem="0"/>
    <dataField name="加权平均贷款年利率" fld="14" baseField="0" baseItem="0"/>
    <dataField name="加权平均贷款合同期限" fld="6" baseField="0" baseItem="0"/>
    <dataField name="加权平均贷款剩余期限" fld="7" baseField="0" baseItem="0" numFmtId="2"/>
    <dataField name="加权平均贷款账龄" fld="8" baseField="0" baseItem="0"/>
    <dataField name="最高合同金额" fld="15" baseField="0" baseItem="0"/>
    <dataField name="最高剩余本金余额" fld="16" baseField="0" baseItem="0"/>
    <dataField name="最高月利率" fld="17" baseField="0" baseItem="0"/>
    <dataField name="最长剩余期限" fld="18" baseField="0" baseItem="0"/>
    <dataField name="最短剩余期限" fld="19" baseField="0" baseItem="0"/>
    <dataField name="无息合同金额占比" fld="20" baseField="0" baseItem="0"/>
    <dataField name="合同金额最高的前10000名客户总金额占比" fld="21" baseField="0" baseItem="0"/>
    <dataField name="客户地点分布区域" fld="24" baseField="0" baseItem="0"/>
    <dataField name="服务费率" fld="22" baseField="0" baseItem="0" numFmtId="10"/>
    <dataField name="手续费率" fld="23" baseField="0" baseItem="0"/>
  </dataFields>
  <formats count="7">
    <format dxfId="358">
      <pivotArea collapsedLevelsAreSubtotals="1" fieldPosition="0">
        <references count="1">
          <reference field="4294967294" count="1">
            <x v="1"/>
          </reference>
        </references>
      </pivotArea>
    </format>
    <format dxfId="357">
      <pivotArea collapsedLevelsAreSubtotals="1" fieldPosition="0">
        <references count="1">
          <reference field="4294967294" count="1">
            <x v="3"/>
          </reference>
        </references>
      </pivotArea>
    </format>
    <format dxfId="356">
      <pivotArea collapsedLevelsAreSubtotals="1" fieldPosition="0">
        <references count="1">
          <reference field="4294967294" count="1">
            <x v="4"/>
          </reference>
        </references>
      </pivotArea>
    </format>
    <format dxfId="355">
      <pivotArea outline="0" fieldPosition="0">
        <references count="1">
          <reference field="4294967294" count="1">
            <x v="8"/>
          </reference>
        </references>
      </pivotArea>
    </format>
    <format dxfId="354">
      <pivotArea collapsedLevelsAreSubtotals="1" fieldPosition="0">
        <references count="1">
          <reference field="4294967294" count="1">
            <x v="9"/>
          </reference>
        </references>
      </pivotArea>
    </format>
    <format dxfId="353">
      <pivotArea outline="0" fieldPosition="0">
        <references count="1">
          <reference field="4294967294" count="1">
            <x v="18"/>
          </reference>
        </references>
      </pivotArea>
    </format>
    <format dxfId="352">
      <pivotArea collapsedLevelsAreSubtotals="1" fieldPosition="0">
        <references count="1">
          <reference field="4294967294" count="1">
            <x v="19"/>
          </reference>
        </references>
      </pivotArea>
    </format>
  </formats>
  <pivotHierarchies count="205">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0"/>
        <mp field="11"/>
        <mp field="12"/>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caption="客户地点分布区域"/>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总金额"/>
    <pivotHierarchy dragToRow="0" dragToCol="0" dragToPage="0" dragToData="1" caption="资产池未偿本金余额总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caption="最高剩余本金余额"/>
    <pivotHierarchy dragToRow="0" dragToCol="0" dragToPage="0" dragToData="1" caption="最高合同金额"/>
    <pivotHierarchy dragToRow="0" dragToCol="0" dragToPage="0" dragToData="1" caption="最高月利率"/>
    <pivotHierarchy dragToRow="0" dragToCol="0" dragToPage="0" dragToData="1" caption="最长剩余期限"/>
    <pivotHierarchy dragToRow="0" dragToCol="0" dragToPage="0" dragToData="1" caption="最短剩余期限"/>
    <pivotHierarchy dragToRow="0" dragToCol="0" dragToPage="0" dragToData="1"/>
    <pivotHierarchy dragToRow="0" dragToCol="0" dragToPage="0" dragToData="1" caption="加权贷款年利率"/>
    <pivotHierarchy dragToRow="0" dragToCol="0" dragToPage="0" dragToData="1" caption="手续费率"/>
    <pivotHierarchy dragToRow="0" dragToCol="0" dragToPage="0" dragToData="1" caption="服务费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caption="平均合同金额"/>
    <pivotHierarchy dragToRow="0" dragToCol="0" dragToPage="0" dragToData="1" caption="加权平均贷款月利率"/>
    <pivotHierarchy dragToRow="0" dragToCol="0" dragToPage="0" dragToData="1"/>
    <pivotHierarchy dragToRow="0" dragToCol="0" dragToPage="0" dragToData="1" caption="加权平均贷款账龄"/>
    <pivotHierarchy dragToRow="0" dragToCol="0" dragToPage="0" dragToData="1" caption="加权平均贷款合同期限"/>
    <pivotHierarchy dragToRow="0" dragToCol="0" dragToPage="0" dragToData="1" caption="加权平均贷款剩余期限"/>
    <pivotHierarchy dragToRow="0" dragToCol="0" dragToPage="0" dragToData="1" caption="无息合同金额占比"/>
    <pivotHierarchy dragToRow="0" dragToCol="0" dragToPage="0" dragToData="1" caption="客户地理区域分布数量"/>
    <pivotHierarchy dragToRow="0" dragToCol="0" dragToPage="0" dragToData="1" caption="合同金额最高的前10000名客户总金额占比"/>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数据透视表10" cacheId="207"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信用评级分布" fieldListSortAscending="1">
  <location ref="CY20:DC22"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2">
    <i>
      <x/>
    </i>
    <i t="grand">
      <x/>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57">
      <pivotArea dataOnly="0" labelOnly="1" outline="0" fieldPosition="0">
        <references count="1">
          <reference field="4294967294" count="1">
            <x v="0"/>
          </reference>
        </references>
      </pivotArea>
    </format>
    <format dxfId="258">
      <pivotArea outline="0" fieldPosition="0">
        <references count="1">
          <reference field="4294967294" count="1">
            <x v="1"/>
          </reference>
        </references>
      </pivotArea>
    </format>
    <format dxfId="259">
      <pivotArea dataOnly="0" labelOnly="1" outline="0" fieldPosition="0">
        <references count="1">
          <reference field="4294967294" count="1">
            <x v="1"/>
          </reference>
        </references>
      </pivotArea>
    </format>
    <format dxfId="260">
      <pivotArea dataOnly="0" outline="0" fieldPosition="0">
        <references count="1">
          <reference field="4294967294" count="1">
            <x v="2"/>
          </reference>
        </references>
      </pivotArea>
    </format>
    <format dxfId="261">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0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数据透视表9" cacheId="210"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信用分数分布" fieldListSortAscending="1">
  <location ref="CS20:CW21"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1">
    <i t="grand">
      <x/>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62">
      <pivotArea dataOnly="0" labelOnly="1" outline="0" fieldPosition="0">
        <references count="1">
          <reference field="4294967294" count="1">
            <x v="0"/>
          </reference>
        </references>
      </pivotArea>
    </format>
    <format dxfId="263">
      <pivotArea outline="0" fieldPosition="0">
        <references count="1">
          <reference field="4294967294" count="1">
            <x v="1"/>
          </reference>
        </references>
      </pivotArea>
    </format>
    <format dxfId="264">
      <pivotArea dataOnly="0" labelOnly="1" outline="0" fieldPosition="0">
        <references count="1">
          <reference field="4294967294" count="1">
            <x v="1"/>
          </reference>
        </references>
      </pivotArea>
    </format>
    <format dxfId="265">
      <pivotArea dataOnly="0" outline="0" fieldPosition="0">
        <references count="1">
          <reference field="4294967294" count="1">
            <x v="2"/>
          </reference>
        </references>
      </pivotArea>
    </format>
    <format dxfId="266">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数据透视表8" cacheId="213"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逾期分布" fieldListSortAscending="1">
  <location ref="CM20:CQ23"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3">
    <i>
      <x/>
    </i>
    <i>
      <x v="1"/>
    </i>
    <i t="grand">
      <x/>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67">
      <pivotArea dataOnly="0" labelOnly="1" outline="0" fieldPosition="0">
        <references count="1">
          <reference field="4294967294" count="1">
            <x v="0"/>
          </reference>
        </references>
      </pivotArea>
    </format>
    <format dxfId="268">
      <pivotArea outline="0" fieldPosition="0">
        <references count="1">
          <reference field="4294967294" count="1">
            <x v="1"/>
          </reference>
        </references>
      </pivotArea>
    </format>
    <format dxfId="269">
      <pivotArea dataOnly="0" labelOnly="1" outline="0" fieldPosition="0">
        <references count="1">
          <reference field="4294967294" count="1">
            <x v="1"/>
          </reference>
        </references>
      </pivotArea>
    </format>
    <format dxfId="270">
      <pivotArea dataOnly="0" outline="0" fieldPosition="0">
        <references count="1">
          <reference field="4294967294" count="1">
            <x v="2"/>
          </reference>
        </references>
      </pivotArea>
    </format>
    <format dxfId="271">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数据透视表7" cacheId="216"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扣款日类别分布" fieldListSortAscending="1">
  <location ref="CG20:CK22"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2">
    <i>
      <x/>
    </i>
    <i t="grand">
      <x/>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72">
      <pivotArea dataOnly="0" labelOnly="1" outline="0" fieldPosition="0">
        <references count="1">
          <reference field="4294967294" count="1">
            <x v="0"/>
          </reference>
        </references>
      </pivotArea>
    </format>
    <format dxfId="273">
      <pivotArea outline="0" fieldPosition="0">
        <references count="1">
          <reference field="4294967294" count="1">
            <x v="1"/>
          </reference>
        </references>
      </pivotArea>
    </format>
    <format dxfId="274">
      <pivotArea dataOnly="0" labelOnly="1" outline="0" fieldPosition="0">
        <references count="1">
          <reference field="4294967294" count="1">
            <x v="1"/>
          </reference>
        </references>
      </pivotArea>
    </format>
    <format dxfId="275">
      <pivotArea dataOnly="0" outline="0" fieldPosition="0">
        <references count="1">
          <reference field="4294967294" count="1">
            <x v="2"/>
          </reference>
        </references>
      </pivotArea>
    </format>
    <format dxfId="276">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0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数据透视表6" cacheId="219"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还款方式分布" fieldListSortAscending="1">
  <location ref="CA20:CE22"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2">
    <i>
      <x/>
    </i>
    <i t="grand">
      <x/>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77">
      <pivotArea dataOnly="0" labelOnly="1" outline="0" fieldPosition="0">
        <references count="1">
          <reference field="4294967294" count="1">
            <x v="0"/>
          </reference>
        </references>
      </pivotArea>
    </format>
    <format dxfId="278">
      <pivotArea outline="0" fieldPosition="0">
        <references count="1">
          <reference field="4294967294" count="1">
            <x v="1"/>
          </reference>
        </references>
      </pivotArea>
    </format>
    <format dxfId="279">
      <pivotArea dataOnly="0" labelOnly="1" outline="0" fieldPosition="0">
        <references count="1">
          <reference field="4294967294" count="1">
            <x v="1"/>
          </reference>
        </references>
      </pivotArea>
    </format>
    <format dxfId="280">
      <pivotArea dataOnly="0" outline="0" fieldPosition="0">
        <references count="1">
          <reference field="4294967294" count="1">
            <x v="2"/>
          </reference>
        </references>
      </pivotArea>
    </format>
    <format dxfId="281">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2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数据透视表5" cacheId="222"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申请用途分布" fieldListSortAscending="1">
  <location ref="BU20:BY22"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2">
    <i>
      <x/>
    </i>
    <i t="grand">
      <x/>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82">
      <pivotArea dataOnly="0" labelOnly="1" outline="0" fieldPosition="0">
        <references count="1">
          <reference field="4294967294" count="1">
            <x v="0"/>
          </reference>
        </references>
      </pivotArea>
    </format>
    <format dxfId="283">
      <pivotArea outline="0" fieldPosition="0">
        <references count="1">
          <reference field="4294967294" count="1">
            <x v="1"/>
          </reference>
        </references>
      </pivotArea>
    </format>
    <format dxfId="284">
      <pivotArea dataOnly="0" labelOnly="1" outline="0" fieldPosition="0">
        <references count="1">
          <reference field="4294967294" count="1">
            <x v="1"/>
          </reference>
        </references>
      </pivotArea>
    </format>
    <format dxfId="285">
      <pivotArea dataOnly="0" outline="0" fieldPosition="0">
        <references count="1">
          <reference field="4294967294" count="1">
            <x v="2"/>
          </reference>
        </references>
      </pivotArea>
    </format>
    <format dxfId="286">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0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数据透视表4" cacheId="225"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申请地点分布" fieldListSortAscending="1">
  <location ref="BO20:BS22"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2">
    <i>
      <x/>
    </i>
    <i t="grand">
      <x/>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87">
      <pivotArea dataOnly="0" labelOnly="1" outline="0" fieldPosition="0">
        <references count="1">
          <reference field="4294967294" count="1">
            <x v="0"/>
          </reference>
        </references>
      </pivotArea>
    </format>
    <format dxfId="288">
      <pivotArea outline="0" fieldPosition="0">
        <references count="1">
          <reference field="4294967294" count="1">
            <x v="1"/>
          </reference>
        </references>
      </pivotArea>
    </format>
    <format dxfId="289">
      <pivotArea dataOnly="0" labelOnly="1" outline="0" fieldPosition="0">
        <references count="1">
          <reference field="4294967294" count="1">
            <x v="1"/>
          </reference>
        </references>
      </pivotArea>
    </format>
    <format dxfId="290">
      <pivotArea dataOnly="0" outline="0" fieldPosition="0">
        <references count="1">
          <reference field="4294967294" count="1">
            <x v="2"/>
          </reference>
        </references>
      </pivotArea>
    </format>
    <format dxfId="291">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0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数据透视表3" cacheId="228"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月收入分布" fieldListSortAscending="1">
  <location ref="BI20:BM21"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1">
    <i t="grand">
      <x/>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92">
      <pivotArea dataOnly="0" labelOnly="1" outline="0" fieldPosition="0">
        <references count="1">
          <reference field="4294967294" count="1">
            <x v="0"/>
          </reference>
        </references>
      </pivotArea>
    </format>
    <format dxfId="293">
      <pivotArea outline="0" fieldPosition="0">
        <references count="1">
          <reference field="4294967294" count="1">
            <x v="1"/>
          </reference>
        </references>
      </pivotArea>
    </format>
    <format dxfId="294">
      <pivotArea dataOnly="0" labelOnly="1" outline="0" fieldPosition="0">
        <references count="1">
          <reference field="4294967294" count="1">
            <x v="1"/>
          </reference>
        </references>
      </pivotArea>
    </format>
    <format dxfId="295">
      <pivotArea dataOnly="0" outline="0" fieldPosition="0">
        <references count="1">
          <reference field="4294967294" count="1">
            <x v="2"/>
          </reference>
        </references>
      </pivotArea>
    </format>
    <format dxfId="296">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数据透视表2" cacheId="231"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6" rowHeaderCaption="学历分布" fieldListSortAscending="1">
  <location ref="BC20:BG21"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1">
    <i t="grand">
      <x/>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97">
      <pivotArea dataOnly="0" labelOnly="1" outline="0" fieldPosition="0">
        <references count="1">
          <reference field="4294967294" count="1">
            <x v="0"/>
          </reference>
        </references>
      </pivotArea>
    </format>
    <format dxfId="298">
      <pivotArea outline="0" fieldPosition="0">
        <references count="1">
          <reference field="4294967294" count="1">
            <x v="1"/>
          </reference>
        </references>
      </pivotArea>
    </format>
    <format dxfId="299">
      <pivotArea dataOnly="0" labelOnly="1" outline="0" fieldPosition="0">
        <references count="1">
          <reference field="4294967294" count="1">
            <x v="1"/>
          </reference>
        </references>
      </pivotArea>
    </format>
    <format dxfId="300">
      <pivotArea dataOnly="0" outline="0" fieldPosition="0">
        <references count="1">
          <reference field="4294967294" count="1">
            <x v="2"/>
          </reference>
        </references>
      </pivotArea>
    </format>
    <format dxfId="301">
      <pivotArea outline="0" fieldPosition="0">
        <references count="1">
          <reference field="4294967294" count="1">
            <x v="3"/>
          </reference>
        </references>
      </pivotArea>
    </format>
  </format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数据透视表1" cacheId="234"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4" rowHeaderCaption="婚姻状况" fieldListSortAscending="1">
  <location ref="AW20:BA21" firstHeaderRow="0" firstDataRow="1" firstDataCol="1" rowPageCount="2" colPageCount="1"/>
  <pivotFields count="10">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rowItems count="1">
    <i t="grand">
      <x/>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302">
      <pivotArea dataOnly="0" labelOnly="1" outline="0" fieldPosition="0">
        <references count="1">
          <reference field="4294967294" count="1">
            <x v="0"/>
          </reference>
        </references>
      </pivotArea>
    </format>
    <format dxfId="303">
      <pivotArea outline="0" fieldPosition="0">
        <references count="1">
          <reference field="4294967294" count="1">
            <x v="1"/>
          </reference>
        </references>
      </pivotArea>
    </format>
    <format dxfId="304">
      <pivotArea dataOnly="0" labelOnly="1" outline="0" fieldPosition="0">
        <references count="1">
          <reference field="4294967294" count="1">
            <x v="1"/>
          </reference>
        </references>
      </pivotArea>
    </format>
    <format dxfId="305">
      <pivotArea dataOnly="0" outline="0" fieldPosition="0">
        <references count="1">
          <reference field="4294967294" count="1">
            <x v="2"/>
          </reference>
        </references>
      </pivotArea>
    </format>
    <format dxfId="306">
      <pivotArea outline="0" fieldPosition="0">
        <references count="1">
          <reference field="4294967294" count="1">
            <x v="3"/>
          </reference>
        </references>
      </pivotArea>
    </format>
  </format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Interest" cacheId="237"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4" rowHeaderCaption="利率分布" fieldListSortAscending="1">
  <location ref="S20:W38" firstHeaderRow="0" firstDataRow="1" firstDataCol="1" rowPageCount="2" colPageCount="1"/>
  <pivotFields count="11">
    <pivotField dataField="1" showAll="0"/>
    <pivotField dataField="1" showAll="0"/>
    <pivotField axis="axisRow" allDrilled="1" showAll="0" dataSourceSort="1" defaultAttributeDrillState="1">
      <items count="18">
        <item x="0"/>
        <item x="1"/>
        <item x="2"/>
        <item x="3"/>
        <item x="4"/>
        <item x="5"/>
        <item x="6"/>
        <item x="7"/>
        <item x="8"/>
        <item x="9"/>
        <item x="10"/>
        <item x="11"/>
        <item x="12"/>
        <item x="13"/>
        <item x="14"/>
        <item x="15"/>
        <item x="16"/>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8">
    <i>
      <x/>
    </i>
    <i>
      <x v="1"/>
    </i>
    <i>
      <x v="2"/>
    </i>
    <i>
      <x v="3"/>
    </i>
    <i>
      <x v="4"/>
    </i>
    <i>
      <x v="5"/>
    </i>
    <i>
      <x v="6"/>
    </i>
    <i>
      <x v="7"/>
    </i>
    <i>
      <x v="8"/>
    </i>
    <i>
      <x v="9"/>
    </i>
    <i>
      <x v="10"/>
    </i>
    <i>
      <x v="11"/>
    </i>
    <i>
      <x v="12"/>
    </i>
    <i>
      <x v="13"/>
    </i>
    <i>
      <x v="14"/>
    </i>
    <i>
      <x v="15"/>
    </i>
    <i>
      <x v="16"/>
    </i>
    <i t="grand">
      <x/>
    </i>
  </rowItems>
  <colFields count="1">
    <field x="-2"/>
  </colFields>
  <colItems count="4">
    <i>
      <x/>
    </i>
    <i i="1">
      <x v="1"/>
    </i>
    <i i="2">
      <x v="2"/>
    </i>
    <i i="3">
      <x v="3"/>
    </i>
  </colItems>
  <pageFields count="2">
    <pageField fld="5" hier="135" name="[Pool].[Dim Pool ID].[All]" cap="All"/>
    <pageField fld="4" hier="149"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311">
      <pivotArea dataOnly="0" labelOnly="1" outline="0" fieldPosition="0">
        <references count="1">
          <reference field="4294967294" count="1">
            <x v="0"/>
          </reference>
        </references>
      </pivotArea>
    </format>
    <format dxfId="310">
      <pivotArea outline="0" fieldPosition="0">
        <references count="1">
          <reference field="4294967294" count="1">
            <x v="1"/>
          </reference>
        </references>
      </pivotArea>
    </format>
    <format dxfId="309">
      <pivotArea dataOnly="0" labelOnly="1" outline="0" fieldPosition="0">
        <references count="1">
          <reference field="4294967294" count="1">
            <x v="1"/>
          </reference>
        </references>
      </pivotArea>
    </format>
    <format dxfId="308">
      <pivotArea dataOnly="0" outline="0" fieldPosition="0">
        <references count="1">
          <reference field="4294967294" count="1">
            <x v="2"/>
          </reference>
        </references>
      </pivotArea>
    </format>
    <format dxfId="307">
      <pivotArea outline="0" fieldPosition="0">
        <references count="1">
          <reference field="4294967294" count="1">
            <x v="3"/>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s>
  <pivotHierarchies count="207">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Branch" cacheId="259"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4" rowHeaderCaption="贷款区域分布" fieldListSortAscending="1">
  <location ref="AK20:AN21" firstHeaderRow="0" firstDataRow="1" firstDataCol="0" rowPageCount="2" colPageCount="1"/>
  <pivotFields count="9">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Items count="1">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7"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8"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316">
      <pivotArea dataOnly="0" labelOnly="1" outline="0" fieldPosition="0">
        <references count="1">
          <reference field="4294967294" count="1">
            <x v="0"/>
          </reference>
        </references>
      </pivotArea>
    </format>
    <format dxfId="315">
      <pivotArea outline="0" fieldPosition="0">
        <references count="1">
          <reference field="4294967294" count="1">
            <x v="1"/>
          </reference>
        </references>
      </pivotArea>
    </format>
    <format dxfId="314">
      <pivotArea dataOnly="0" labelOnly="1" outline="0" fieldPosition="0">
        <references count="1">
          <reference field="4294967294" count="1">
            <x v="1"/>
          </reference>
        </references>
      </pivotArea>
    </format>
    <format dxfId="313">
      <pivotArea dataOnly="0" outline="0" fieldPosition="0">
        <references count="1">
          <reference field="4294967294" count="1">
            <x v="2"/>
          </reference>
        </references>
      </pivotArea>
    </format>
    <format dxfId="312">
      <pivotArea outline="0" fieldPosition="0">
        <references count="1">
          <reference field="4294967294" count="1">
            <x v="3"/>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Seasoning" cacheId="268"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5" rowHeaderCaption="贷款账龄分布" fieldListSortAscending="1">
  <location ref="G20:K26" firstHeaderRow="0" firstDataRow="1" firstDataCol="1" rowPageCount="2" colPageCount="1"/>
  <pivotFields count="1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6">
    <i>
      <x/>
    </i>
    <i>
      <x v="1"/>
    </i>
    <i>
      <x v="2"/>
    </i>
    <i>
      <x v="3"/>
    </i>
    <i>
      <x v="4"/>
    </i>
    <i t="grand">
      <x/>
    </i>
  </rowItems>
  <colFields count="1">
    <field x="-2"/>
  </colFields>
  <colItems count="4">
    <i>
      <x/>
    </i>
    <i i="1">
      <x v="1"/>
    </i>
    <i i="2">
      <x v="2"/>
    </i>
    <i i="3">
      <x v="3"/>
    </i>
  </colItems>
  <pageFields count="2">
    <pageField fld="5" hier="135" name="[Pool].[Dim Pool ID].[All]" cap="All"/>
    <pageField fld="4" hier="149"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321">
      <pivotArea dataOnly="0" labelOnly="1" outline="0" fieldPosition="0">
        <references count="1">
          <reference field="4294967294" count="1">
            <x v="0"/>
          </reference>
        </references>
      </pivotArea>
    </format>
    <format dxfId="320">
      <pivotArea outline="0" fieldPosition="0">
        <references count="1">
          <reference field="4294967294" count="1">
            <x v="1"/>
          </reference>
        </references>
      </pivotArea>
    </format>
    <format dxfId="319">
      <pivotArea dataOnly="0" labelOnly="1" outline="0" fieldPosition="0">
        <references count="1">
          <reference field="4294967294" count="1">
            <x v="1"/>
          </reference>
        </references>
      </pivotArea>
    </format>
    <format dxfId="318">
      <pivotArea dataOnly="0" outline="0" fieldPosition="0">
        <references count="1">
          <reference field="4294967294" count="1">
            <x v="2"/>
          </reference>
        </references>
      </pivotArea>
    </format>
    <format dxfId="317">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4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ProductType" cacheId="240"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1" rowHeaderCaption="商品品类分布" fieldListSortAscending="1">
  <location ref="AQ20:AU22" firstHeaderRow="0" firstDataRow="1" firstDataCol="1" rowPageCount="2" colPageCount="1"/>
  <pivotFields count="10">
    <pivotField axis="axisRow" allDrilled="1" showAll="0" dataSourceSort="1" defaultAttributeDrillState="1">
      <items count="2">
        <item x="0"/>
        <item t="default"/>
      </items>
    </pivotField>
    <pivotField dataField="1" showAll="0"/>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2">
    <i>
      <x/>
    </i>
    <i t="grand">
      <x/>
    </i>
  </rowItems>
  <colFields count="1">
    <field x="-2"/>
  </colFields>
  <colItems count="4">
    <i>
      <x/>
    </i>
    <i i="1">
      <x v="1"/>
    </i>
    <i i="2">
      <x v="2"/>
    </i>
    <i i="3">
      <x v="3"/>
    </i>
  </colItems>
  <pageFields count="2">
    <pageField fld="2" hier="135" name="[Pool].[Dim Pool ID].[All]" cap="All"/>
    <pageField fld="6" hier="149" name="[View Dim EC Pass].[EC Pass No].&amp;[ECPass3]" cap="ECPass3"/>
  </pageFields>
  <dataFields count="4">
    <dataField name="本金余额" fld="7" baseField="0" baseItem="0"/>
    <dataField name="本金余额占比" fld="8" showDataAs="percentOfTotal" baseField="0" baseItem="0" numFmtId="10">
      <extLst>
        <ext xmlns:x14="http://schemas.microsoft.com/office/spreadsheetml/2009/9/main" uri="{E15A36E0-9728-4e99-A89B-3F7291B0FE68}">
          <x14:dataField sourceField="7" uniqueName="[__Xl2].[Measures].[Current Principal Balance]"/>
        </ext>
      </extLst>
    </dataField>
    <dataField name="贷款笔数"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chartFormats count="4">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0"/>
          </reference>
        </references>
      </pivotArea>
    </chartFormat>
    <chartFormat chart="0" format="5" series="1">
      <pivotArea type="data" outline="0" fieldPosition="0">
        <references count="1">
          <reference field="4294967294" count="1" selected="0">
            <x v="1"/>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总金额占比"/>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2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ContractTerm" cacheId="25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4" rowHeaderCaption="合同期限分布" fieldListSortAscending="1">
  <location ref="A20:E25" firstHeaderRow="0" firstDataRow="1" firstDataCol="1" rowPageCount="2" colPageCount="1"/>
  <pivotFields count="11">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5">
    <i>
      <x/>
    </i>
    <i>
      <x v="1"/>
    </i>
    <i>
      <x v="2"/>
    </i>
    <i>
      <x v="3"/>
    </i>
    <i t="grand">
      <x/>
    </i>
  </rowItems>
  <colFields count="1">
    <field x="-2"/>
  </colFields>
  <colItems count="4">
    <i>
      <x/>
    </i>
    <i i="1">
      <x v="1"/>
    </i>
    <i i="2">
      <x v="2"/>
    </i>
    <i i="3">
      <x v="3"/>
    </i>
  </colItems>
  <pageFields count="2">
    <pageField fld="5" hier="135" name="[Pool].[Dim Pool ID].[All]" cap="All"/>
    <pageField fld="4" hier="149" name="[View Dim EC Pass].[EC Pass No].&amp;[ECPass3]" cap="ECPass3"/>
  </pageFields>
  <dataFields count="4">
    <dataField name="本金余额" fld="2" baseField="0" baseItem="0" numFmtId="166"/>
    <dataField name="本金余额占比" fld="9" showDataAs="percentOfTotal" baseField="0" baseItem="0" numFmtId="10">
      <extLst>
        <ext xmlns:x14="http://schemas.microsoft.com/office/spreadsheetml/2009/9/main" uri="{E15A36E0-9728-4e99-A89B-3F7291B0FE68}">
          <x14:dataField sourceField="2" uniqueName="[__Xl2].[Measures].[Current Principal Balance]"/>
        </ext>
      </extLst>
    </dataField>
    <dataField fld="3" baseField="0" baseItem="0"/>
    <dataField name="贷款笔数占比" fld="10" showDataAs="percentOfTotal" baseField="0" baseItem="0" numFmtId="10">
      <extLst>
        <ext xmlns:x14="http://schemas.microsoft.com/office/spreadsheetml/2009/9/main" uri="{E15A36E0-9728-4e99-A89B-3F7291B0FE68}">
          <x14:dataField sourceField="3" uniqueName="[__Xl2].[Measures].[Loan Count]"/>
        </ext>
      </extLst>
    </dataField>
  </dataFields>
  <formats count="5">
    <format dxfId="326">
      <pivotArea dataOnly="0" labelOnly="1" outline="0" fieldPosition="0">
        <references count="1">
          <reference field="4294967294" count="1">
            <x v="0"/>
          </reference>
        </references>
      </pivotArea>
    </format>
    <format dxfId="325">
      <pivotArea outline="0" fieldPosition="0">
        <references count="1">
          <reference field="4294967294" count="1">
            <x v="1"/>
          </reference>
        </references>
      </pivotArea>
    </format>
    <format dxfId="324">
      <pivotArea dataOnly="0" labelOnly="1" outline="0" fieldPosition="0">
        <references count="1">
          <reference field="4294967294" count="1">
            <x v="1"/>
          </reference>
        </references>
      </pivotArea>
    </format>
    <format dxfId="323">
      <pivotArea dataOnly="0" outline="0" fieldPosition="0">
        <references count="1">
          <reference field="4294967294" count="1">
            <x v="2"/>
          </reference>
        </references>
      </pivotArea>
    </format>
    <format dxfId="322">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FiveClass" cacheId="243"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五级分类" fieldListSortAscending="1">
  <location ref="AE20:AH21" firstHeaderRow="0" firstDataRow="1" firstDataCol="0" rowPageCount="2" colPageCount="1"/>
  <pivotFields count="9">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Items count="1">
    <i/>
  </rowItems>
  <colFields count="1">
    <field x="-2"/>
  </colFields>
  <colItems count="4">
    <i>
      <x/>
    </i>
    <i i="1">
      <x v="1"/>
    </i>
    <i i="2">
      <x v="2"/>
    </i>
    <i i="3">
      <x v="3"/>
    </i>
  </colItems>
  <pageFields count="2">
    <pageField fld="3" hier="135" name="[Pool].[Dim Pool ID].[All]" cap="All"/>
    <pageField fld="2" hier="149" name="[View Dim EC Pass].[EC Pass No].&amp;[ECPass3]" cap="ECPass3"/>
  </pageFields>
  <dataFields count="4">
    <dataField name="本金余额" fld="0" baseField="0" baseItem="0" numFmtId="166"/>
    <dataField name="本金余额占比" fld="7"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8"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331">
      <pivotArea dataOnly="0" labelOnly="1" outline="0" fieldPosition="0">
        <references count="1">
          <reference field="4294967294" count="1">
            <x v="0"/>
          </reference>
        </references>
      </pivotArea>
    </format>
    <format dxfId="330">
      <pivotArea outline="0" fieldPosition="0">
        <references count="1">
          <reference field="4294967294" count="1">
            <x v="1"/>
          </reference>
        </references>
      </pivotArea>
    </format>
    <format dxfId="329">
      <pivotArea dataOnly="0" labelOnly="1" outline="0" fieldPosition="0">
        <references count="1">
          <reference field="4294967294" count="1">
            <x v="1"/>
          </reference>
        </references>
      </pivotArea>
    </format>
    <format dxfId="328">
      <pivotArea dataOnly="0" outline="0" fieldPosition="0">
        <references count="1">
          <reference field="4294967294" count="1">
            <x v="2"/>
          </reference>
        </references>
      </pivotArea>
    </format>
    <format dxfId="327">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RemainingTerm" cacheId="265"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剩余期限分布" fieldListSortAscending="1">
  <location ref="M20:Q29" firstHeaderRow="0" firstDataRow="1" firstDataCol="1" rowPageCount="2" colPageCount="1"/>
  <pivotFields count="11">
    <pivotField dataField="1" showAll="0"/>
    <pivotField dataField="1" showAll="0"/>
    <pivotField axis="axisRow" allDrilled="1" showAll="0" dataSourceSort="1" defaultAttributeDrillState="1">
      <items count="9">
        <item x="0"/>
        <item x="1"/>
        <item x="2"/>
        <item x="3"/>
        <item x="4"/>
        <item x="5"/>
        <item x="6"/>
        <item x="7"/>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9">
    <i>
      <x/>
    </i>
    <i>
      <x v="1"/>
    </i>
    <i>
      <x v="2"/>
    </i>
    <i>
      <x v="3"/>
    </i>
    <i>
      <x v="4"/>
    </i>
    <i>
      <x v="5"/>
    </i>
    <i>
      <x v="6"/>
    </i>
    <i>
      <x v="7"/>
    </i>
    <i t="grand">
      <x/>
    </i>
  </rowItems>
  <colFields count="1">
    <field x="-2"/>
  </colFields>
  <colItems count="4">
    <i>
      <x/>
    </i>
    <i i="1">
      <x v="1"/>
    </i>
    <i i="2">
      <x v="2"/>
    </i>
    <i i="3">
      <x v="3"/>
    </i>
  </colItems>
  <pageFields count="2">
    <pageField fld="5" hier="135" name="[Pool].[Dim Pool ID].[All]" cap="All"/>
    <pageField fld="4" hier="149"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336">
      <pivotArea dataOnly="0" labelOnly="1" outline="0" fieldPosition="0">
        <references count="1">
          <reference field="4294967294" count="1">
            <x v="0"/>
          </reference>
        </references>
      </pivotArea>
    </format>
    <format dxfId="335">
      <pivotArea outline="0" fieldPosition="0">
        <references count="1">
          <reference field="4294967294" count="1">
            <x v="1"/>
          </reference>
        </references>
      </pivotArea>
    </format>
    <format dxfId="334">
      <pivotArea dataOnly="0" labelOnly="1" outline="0" fieldPosition="0">
        <references count="1">
          <reference field="4294967294" count="1">
            <x v="1"/>
          </reference>
        </references>
      </pivotArea>
    </format>
    <format dxfId="333">
      <pivotArea dataOnly="0" outline="0" fieldPosition="0">
        <references count="1">
          <reference field="4294967294" count="1">
            <x v="2"/>
          </reference>
        </references>
      </pivotArea>
    </format>
    <format dxfId="332">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4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alance" cacheId="256"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本金余额分布" fieldListSortAscending="1">
  <location ref="Y20:AC40" firstHeaderRow="0" firstDataRow="1" firstDataCol="1" rowPageCount="2" colPageCount="1"/>
  <pivotFields count="11">
    <pivotField dataField="1" showAll="0"/>
    <pivotField dataField="1" showAll="0"/>
    <pivotField axis="axisRow" allDrilled="1" showAll="0" dataSourceSort="1" defaultAttributeDrillState="1">
      <items count="20">
        <item x="0"/>
        <item x="1"/>
        <item x="2"/>
        <item x="3"/>
        <item x="4"/>
        <item x="5"/>
        <item x="6"/>
        <item x="7"/>
        <item x="8"/>
        <item x="9"/>
        <item x="10"/>
        <item x="11"/>
        <item x="12"/>
        <item x="13"/>
        <item x="14"/>
        <item x="15"/>
        <item x="16"/>
        <item x="17"/>
        <item x="18"/>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20">
    <i>
      <x/>
    </i>
    <i>
      <x v="1"/>
    </i>
    <i>
      <x v="2"/>
    </i>
    <i>
      <x v="3"/>
    </i>
    <i>
      <x v="4"/>
    </i>
    <i>
      <x v="5"/>
    </i>
    <i>
      <x v="6"/>
    </i>
    <i>
      <x v="7"/>
    </i>
    <i>
      <x v="8"/>
    </i>
    <i>
      <x v="9"/>
    </i>
    <i>
      <x v="10"/>
    </i>
    <i>
      <x v="11"/>
    </i>
    <i>
      <x v="12"/>
    </i>
    <i>
      <x v="13"/>
    </i>
    <i>
      <x v="14"/>
    </i>
    <i>
      <x v="15"/>
    </i>
    <i>
      <x v="16"/>
    </i>
    <i>
      <x v="17"/>
    </i>
    <i>
      <x v="18"/>
    </i>
    <i t="grand">
      <x/>
    </i>
  </rowItems>
  <colFields count="1">
    <field x="-2"/>
  </colFields>
  <colItems count="4">
    <i>
      <x/>
    </i>
    <i i="1">
      <x v="1"/>
    </i>
    <i i="2">
      <x v="2"/>
    </i>
    <i i="3">
      <x v="3"/>
    </i>
  </colItems>
  <pageFields count="2">
    <pageField fld="5" hier="135" name="[Pool].[Dim Pool ID].[All]" cap="All"/>
    <pageField fld="4" hier="149"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351">
      <pivotArea dataOnly="0" labelOnly="1" outline="0" fieldPosition="0">
        <references count="1">
          <reference field="4294967294" count="1">
            <x v="0"/>
          </reference>
        </references>
      </pivotArea>
    </format>
    <format dxfId="350">
      <pivotArea outline="0" fieldPosition="0">
        <references count="1">
          <reference field="4294967294" count="1">
            <x v="1"/>
          </reference>
        </references>
      </pivotArea>
    </format>
    <format dxfId="349">
      <pivotArea dataOnly="0" labelOnly="1" outline="0" fieldPosition="0">
        <references count="1">
          <reference field="4294967294" count="1">
            <x v="1"/>
          </reference>
        </references>
      </pivotArea>
    </format>
    <format dxfId="348">
      <pivotArea dataOnly="0" outline="0" fieldPosition="0">
        <references count="1">
          <reference field="4294967294" count="1">
            <x v="2"/>
          </reference>
        </references>
      </pivotArea>
    </format>
    <format dxfId="347">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207">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ReportsALR" cacheId="247" applyNumberFormats="0" applyBorderFormats="0" applyFontFormats="0" applyPatternFormats="0" applyAlignmentFormats="0" applyWidthHeightFormats="1" dataCaption="筛选条件报表" updatedVersion="5" minRefreshableVersion="3" showDrill="0" useAutoFormatting="1" rowGrandTotals="0" colGrandTotals="0" itemPrintTitles="1" createdVersion="5" indent="0" compact="0" compactData="0" gridDropZones="1" multipleFieldFilters="0" fieldListSortAscending="1">
  <location ref="G3:J8"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5">
        <item x="0"/>
        <item x="1"/>
        <item x="2"/>
        <item x="3"/>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rowItems count="4">
    <i>
      <x/>
      <x/>
    </i>
    <i r="1">
      <x v="1"/>
    </i>
    <i>
      <x v="1"/>
      <x v="2"/>
    </i>
    <i>
      <x v="2"/>
      <x v="3"/>
    </i>
  </rowItems>
  <colFields count="1">
    <field x="-2"/>
  </colFields>
  <colItems count="2">
    <i>
      <x/>
    </i>
    <i i="1">
      <x v="1"/>
    </i>
  </colItems>
  <pageFields count="1">
    <pageField fld="12" hier="149" name="[View Dim EC Pass].[EC Pass No].&amp;[ECPass3]" cap="ECPass3"/>
  </pageFields>
  <dataFields count="2">
    <dataField name="贷款相关" fld="0" baseField="0" baseItem="0"/>
    <dataField name="客户相关" fld="13" baseField="0" baseItem="0"/>
  </dataFields>
  <pivotHierarchies count="205">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135"/>
    <rowHierarchyUsage hierarchyUsage="9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DT" cacheId="250"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B1:D9"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rowItems count="7">
    <i>
      <x/>
      <x/>
    </i>
    <i r="1">
      <x v="1"/>
    </i>
    <i>
      <x v="1"/>
      <x/>
    </i>
    <i r="1">
      <x v="1"/>
    </i>
    <i>
      <x v="2"/>
      <x/>
    </i>
    <i r="1">
      <x v="1"/>
    </i>
    <i t="grand">
      <x/>
    </i>
  </rowItems>
  <colItems count="1">
    <i/>
  </colItems>
  <dataFields count="1">
    <dataField name="资产池日报表" fld="0" baseField="2" baseItem="0"/>
  </dataFields>
  <pivotHierarchies count="205">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135"/>
    <rowHierarchyUsage hierarchyUsage="95"/>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147">
      <levels count="2">
        <level uniqueName="[Pool].[Dim Pool ID].[(All)]" sourceCaption="(All)" count="0"/>
        <level uniqueName="[Pool].[Dim Pool ID].[Dim Pool ID]" sourceCaption="Dim Pool ID" count="3">
          <ranges>
            <range startItem="0">
              <i n="[Pool].[Dim Pool ID].&amp;[260]" c="260"/>
              <i n="[Pool].[Dim Pool ID].&amp;[261]" c="261"/>
              <i n="[Pool].[Dim Pool ID].&amp;[262]" c="262"/>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 Type="http://schemas.openxmlformats.org/officeDocument/2006/relationships/drawing" Target="../drawings/drawing1.xml"/><Relationship Id="rId21" Type="http://schemas.openxmlformats.org/officeDocument/2006/relationships/control" Target="../activeX/activeX9.xml"/><Relationship Id="rId34" Type="http://schemas.openxmlformats.org/officeDocument/2006/relationships/image" Target="../media/image15.emf"/><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2" Type="http://schemas.openxmlformats.org/officeDocument/2006/relationships/printerSettings" Target="../printerSettings/printerSettings1.bin"/><Relationship Id="rId16" Type="http://schemas.openxmlformats.org/officeDocument/2006/relationships/image" Target="../media/image6.emf"/><Relationship Id="rId20" Type="http://schemas.openxmlformats.org/officeDocument/2006/relationships/image" Target="../media/image8.emf"/><Relationship Id="rId29" Type="http://schemas.openxmlformats.org/officeDocument/2006/relationships/control" Target="../activeX/activeX13.xml"/><Relationship Id="rId1" Type="http://schemas.openxmlformats.org/officeDocument/2006/relationships/pivotTable" Target="../pivotTables/pivotTable1.xml"/><Relationship Id="rId6" Type="http://schemas.openxmlformats.org/officeDocument/2006/relationships/image" Target="../media/image1.emf"/><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8"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drawing" Target="../drawings/drawing2.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rinterSettings" Target="../printerSettings/printerSettings3.bin"/><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2.xml"/><Relationship Id="rId1" Type="http://schemas.openxmlformats.org/officeDocument/2006/relationships/pivotTable" Target="../pivotTables/pivotTable2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2"/>
  <sheetViews>
    <sheetView showGridLines="0" showRowColHeaders="0" workbookViewId="0">
      <selection activeCell="D6" sqref="D6"/>
    </sheetView>
  </sheetViews>
  <sheetFormatPr defaultColWidth="9.140625" defaultRowHeight="12.75"/>
  <cols>
    <col min="1" max="1" width="37" style="18" customWidth="1"/>
    <col min="2" max="2" width="30.5703125" style="18" customWidth="1"/>
    <col min="3" max="4" width="29.28515625" style="18" customWidth="1"/>
    <col min="5" max="5" width="14.85546875" style="18" customWidth="1"/>
    <col min="6" max="6" width="53.85546875" style="18" customWidth="1"/>
    <col min="7" max="8" width="19.85546875" style="18" customWidth="1"/>
    <col min="9" max="9" width="13.42578125" style="18" customWidth="1"/>
    <col min="10" max="16384" width="9.140625" style="18"/>
  </cols>
  <sheetData>
    <row r="1" spans="1:6" ht="60" customHeight="1"/>
    <row r="2" spans="1:6" ht="15">
      <c r="A2" s="34" t="s">
        <v>33</v>
      </c>
      <c r="B2" s="16" t="s" vm="2">
        <v>91</v>
      </c>
    </row>
    <row r="3" spans="1:6" ht="15">
      <c r="A3" s="34" t="s">
        <v>34</v>
      </c>
      <c r="B3" s="16" t="s" vm="1">
        <v>41</v>
      </c>
    </row>
    <row r="4" spans="1:6" ht="37.5" customHeight="1">
      <c r="F4" s="11"/>
    </row>
    <row r="5" spans="1:6" ht="39.950000000000003" customHeight="1">
      <c r="A5" s="36" t="s">
        <v>2</v>
      </c>
      <c r="B5" s="36" t="s">
        <v>6</v>
      </c>
      <c r="C5" s="35"/>
      <c r="D5" s="35"/>
      <c r="E5" s="35"/>
    </row>
    <row r="6" spans="1:6" ht="39.950000000000003" customHeight="1">
      <c r="A6" s="14" t="s">
        <v>7</v>
      </c>
      <c r="B6" s="14" t="s">
        <v>0</v>
      </c>
      <c r="D6" s="18" t="s">
        <v>120</v>
      </c>
      <c r="E6" s="37" t="s">
        <v>5</v>
      </c>
    </row>
    <row r="7" spans="1:6" ht="39.950000000000003" customHeight="1">
      <c r="A7" s="36" t="s">
        <v>15</v>
      </c>
      <c r="B7" s="36" t="s">
        <v>15</v>
      </c>
      <c r="C7" s="36" t="s">
        <v>15</v>
      </c>
      <c r="D7" s="36" t="s">
        <v>15</v>
      </c>
      <c r="E7" s="36" t="s">
        <v>15</v>
      </c>
    </row>
    <row r="8" spans="1:6" ht="39.950000000000003" customHeight="1">
      <c r="A8" s="15" t="s">
        <v>8</v>
      </c>
      <c r="B8" s="14" t="s">
        <v>10</v>
      </c>
      <c r="E8" s="37" t="s">
        <v>5</v>
      </c>
    </row>
    <row r="9" spans="1:6" ht="39.950000000000003" customHeight="1">
      <c r="A9" s="15" t="s">
        <v>11</v>
      </c>
      <c r="B9" s="14" t="s">
        <v>12</v>
      </c>
      <c r="E9" s="37" t="s">
        <v>5</v>
      </c>
    </row>
    <row r="10" spans="1:6" ht="39.950000000000003" customHeight="1">
      <c r="A10" s="15" t="s">
        <v>13</v>
      </c>
      <c r="B10" s="14" t="s">
        <v>14</v>
      </c>
      <c r="E10" s="37" t="s">
        <v>5</v>
      </c>
    </row>
    <row r="11" spans="1:6" ht="39.950000000000003" customHeight="1">
      <c r="A11" s="36" t="s">
        <v>16</v>
      </c>
      <c r="B11" s="36"/>
      <c r="C11" s="36"/>
      <c r="D11" s="36"/>
      <c r="E11" s="36"/>
    </row>
    <row r="12" spans="1:6" ht="39.950000000000003" customHeight="1">
      <c r="A12" s="15" t="s">
        <v>20</v>
      </c>
      <c r="B12" s="14" t="s">
        <v>18</v>
      </c>
      <c r="E12" s="37" t="s">
        <v>5</v>
      </c>
    </row>
    <row r="13" spans="1:6" ht="39.950000000000003" customHeight="1">
      <c r="A13" s="15" t="s">
        <v>19</v>
      </c>
      <c r="B13" s="14" t="s">
        <v>21</v>
      </c>
      <c r="E13" s="37" t="s">
        <v>5</v>
      </c>
    </row>
    <row r="14" spans="1:6" ht="39.950000000000003" customHeight="1">
      <c r="A14" s="36" t="s">
        <v>23</v>
      </c>
      <c r="B14" s="36"/>
      <c r="C14" s="36"/>
      <c r="D14" s="36"/>
      <c r="E14" s="36"/>
    </row>
    <row r="15" spans="1:6" ht="39.950000000000003" customHeight="1">
      <c r="A15" s="13" t="s">
        <v>24</v>
      </c>
      <c r="B15" s="14" t="s">
        <v>25</v>
      </c>
      <c r="E15" s="37" t="s">
        <v>5</v>
      </c>
    </row>
    <row r="16" spans="1:6" ht="39.950000000000003" customHeight="1">
      <c r="A16" s="13" t="s">
        <v>26</v>
      </c>
      <c r="B16" s="14" t="s">
        <v>27</v>
      </c>
      <c r="E16" s="37" t="s">
        <v>5</v>
      </c>
    </row>
    <row r="17" spans="1:5" ht="39.950000000000003" customHeight="1">
      <c r="A17" s="13" t="s">
        <v>28</v>
      </c>
      <c r="B17" s="14" t="s">
        <v>29</v>
      </c>
      <c r="E17" s="37" t="s">
        <v>5</v>
      </c>
    </row>
    <row r="18" spans="1:5" ht="39.950000000000003" customHeight="1">
      <c r="A18" s="13" t="s">
        <v>30</v>
      </c>
      <c r="B18" s="14" t="s">
        <v>31</v>
      </c>
      <c r="E18" s="37" t="s">
        <v>5</v>
      </c>
    </row>
    <row r="19" spans="1:5" ht="39.950000000000003" customHeight="1">
      <c r="A19" s="13" t="s">
        <v>42</v>
      </c>
      <c r="B19" s="14" t="s">
        <v>43</v>
      </c>
      <c r="E19" s="37" t="s">
        <v>5</v>
      </c>
    </row>
    <row r="20" spans="1:5" ht="39.950000000000003" customHeight="1">
      <c r="A20" s="36" t="s">
        <v>4</v>
      </c>
      <c r="B20" s="36"/>
      <c r="C20" s="36"/>
      <c r="D20" s="36"/>
      <c r="E20" s="36"/>
    </row>
    <row r="21" spans="1:5" ht="39.950000000000003" customHeight="1">
      <c r="A21" s="14" t="s">
        <v>35</v>
      </c>
      <c r="B21" s="14" t="s">
        <v>36</v>
      </c>
      <c r="E21" s="33" t="s">
        <v>5</v>
      </c>
    </row>
    <row r="22" spans="1:5" ht="39.950000000000003" customHeight="1">
      <c r="A22" s="14" t="s">
        <v>3</v>
      </c>
      <c r="B22" s="14" t="s">
        <v>1</v>
      </c>
      <c r="E22" s="33" t="s">
        <v>5</v>
      </c>
    </row>
  </sheetData>
  <phoneticPr fontId="14" type="noConversion"/>
  <hyperlinks>
    <hyperlink ref="E8" location="Distributions!A20" display="查看"/>
    <hyperlink ref="E9" location="Distributions!G20" display="查看"/>
    <hyperlink ref="E10" location="Distributions!M20" display="查看"/>
    <hyperlink ref="E12" location="Distributions!S20" display="查看"/>
    <hyperlink ref="E13" location="Distributions!Y20" display="查看"/>
    <hyperlink ref="E15" location="Distributions!AE20" display="查看"/>
    <hyperlink ref="E16" location="Distributions!AK20" display="查看"/>
    <hyperlink ref="E17" location="Distributions!AQ20" display="查看"/>
    <hyperlink ref="E18" location="Distributions!AW20" display="查看"/>
    <hyperlink ref="E22" location="Reports!A1" display="Check"/>
    <hyperlink ref="E6" location="PoolStatistics!A1" display="查看"/>
    <hyperlink ref="E21" location="Reports!A1" display="Check"/>
    <hyperlink ref="E19" location="Distributions!BC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58" r:id="rId5" name="btnptDistProductType">
          <controlPr autoLine="0" r:id="rId6">
            <anchor moveWithCells="1">
              <from>
                <xdr:col>2</xdr:col>
                <xdr:colOff>95250</xdr:colOff>
                <xdr:row>18</xdr:row>
                <xdr:rowOff>104775</xdr:rowOff>
              </from>
              <to>
                <xdr:col>2</xdr:col>
                <xdr:colOff>1819275</xdr:colOff>
                <xdr:row>18</xdr:row>
                <xdr:rowOff>419100</xdr:rowOff>
              </to>
            </anchor>
          </controlPr>
        </control>
      </mc:Choice>
      <mc:Fallback>
        <control shapeId="1058" r:id="rId5" name="btnptDistProductType"/>
      </mc:Fallback>
    </mc:AlternateContent>
    <mc:AlternateContent xmlns:mc="http://schemas.openxmlformats.org/markup-compatibility/2006">
      <mc:Choice Requires="x14">
        <control shapeId="1057" r:id="rId7" name="btnptReportsALR">
          <controlPr autoLine="0" r:id="rId8">
            <anchor moveWithCells="1">
              <from>
                <xdr:col>2</xdr:col>
                <xdr:colOff>95250</xdr:colOff>
                <xdr:row>20</xdr:row>
                <xdr:rowOff>114300</xdr:rowOff>
              </from>
              <to>
                <xdr:col>2</xdr:col>
                <xdr:colOff>1819275</xdr:colOff>
                <xdr:row>20</xdr:row>
                <xdr:rowOff>428625</xdr:rowOff>
              </to>
            </anchor>
          </controlPr>
        </control>
      </mc:Choice>
      <mc:Fallback>
        <control shapeId="1057" r:id="rId7" name="btnptReportsALR"/>
      </mc:Fallback>
    </mc:AlternateContent>
    <mc:AlternateContent xmlns:mc="http://schemas.openxmlformats.org/markup-compatibility/2006">
      <mc:Choice Requires="x14">
        <control shapeId="1025" r:id="rId9" name="btnFilter">
          <controlPr autoLine="0" r:id="rId10">
            <anchor moveWithCells="1">
              <from>
                <xdr:col>0</xdr:col>
                <xdr:colOff>28575</xdr:colOff>
                <xdr:row>0</xdr:row>
                <xdr:rowOff>19050</xdr:rowOff>
              </from>
              <to>
                <xdr:col>1</xdr:col>
                <xdr:colOff>2019300</xdr:colOff>
                <xdr:row>0</xdr:row>
                <xdr:rowOff>733425</xdr:rowOff>
              </to>
            </anchor>
          </controlPr>
        </control>
      </mc:Choice>
      <mc:Fallback>
        <control shapeId="1025" r:id="rId9" name="btnFilter"/>
      </mc:Fallback>
    </mc:AlternateContent>
    <mc:AlternateContent xmlns:mc="http://schemas.openxmlformats.org/markup-compatibility/2006">
      <mc:Choice Requires="x14">
        <control shapeId="1028" r:id="rId11" name="btnptSummary">
          <controlPr autoLine="0" r:id="rId12">
            <anchor moveWithCells="1">
              <from>
                <xdr:col>2</xdr:col>
                <xdr:colOff>95250</xdr:colOff>
                <xdr:row>5</xdr:row>
                <xdr:rowOff>104775</xdr:rowOff>
              </from>
              <to>
                <xdr:col>2</xdr:col>
                <xdr:colOff>1819275</xdr:colOff>
                <xdr:row>5</xdr:row>
                <xdr:rowOff>419100</xdr:rowOff>
              </to>
            </anchor>
          </controlPr>
        </control>
      </mc:Choice>
      <mc:Fallback>
        <control shapeId="1028" r:id="rId11" name="btnptSummary"/>
      </mc:Fallback>
    </mc:AlternateContent>
    <mc:AlternateContent xmlns:mc="http://schemas.openxmlformats.org/markup-compatibility/2006">
      <mc:Choice Requires="x14">
        <control shapeId="1029" r:id="rId13" name="btnptDistContractTerm">
          <controlPr autoLine="0" r:id="rId14">
            <anchor moveWithCells="1">
              <from>
                <xdr:col>2</xdr:col>
                <xdr:colOff>95250</xdr:colOff>
                <xdr:row>7</xdr:row>
                <xdr:rowOff>104775</xdr:rowOff>
              </from>
              <to>
                <xdr:col>2</xdr:col>
                <xdr:colOff>1819275</xdr:colOff>
                <xdr:row>7</xdr:row>
                <xdr:rowOff>419100</xdr:rowOff>
              </to>
            </anchor>
          </controlPr>
        </control>
      </mc:Choice>
      <mc:Fallback>
        <control shapeId="1029" r:id="rId13" name="btnptDistContractTerm"/>
      </mc:Fallback>
    </mc:AlternateContent>
    <mc:AlternateContent xmlns:mc="http://schemas.openxmlformats.org/markup-compatibility/2006">
      <mc:Choice Requires="x14">
        <control shapeId="1030" r:id="rId15" name="btnptDistSeasoning">
          <controlPr autoLine="0" r:id="rId16">
            <anchor moveWithCells="1">
              <from>
                <xdr:col>2</xdr:col>
                <xdr:colOff>95250</xdr:colOff>
                <xdr:row>8</xdr:row>
                <xdr:rowOff>104775</xdr:rowOff>
              </from>
              <to>
                <xdr:col>2</xdr:col>
                <xdr:colOff>1819275</xdr:colOff>
                <xdr:row>8</xdr:row>
                <xdr:rowOff>419100</xdr:rowOff>
              </to>
            </anchor>
          </controlPr>
        </control>
      </mc:Choice>
      <mc:Fallback>
        <control shapeId="1030" r:id="rId15" name="btnptDistSeasoning"/>
      </mc:Fallback>
    </mc:AlternateContent>
    <mc:AlternateContent xmlns:mc="http://schemas.openxmlformats.org/markup-compatibility/2006">
      <mc:Choice Requires="x14">
        <control shapeId="1031" r:id="rId17" name="btnptDistRemainingTerm">
          <controlPr autoLine="0" r:id="rId18">
            <anchor moveWithCells="1">
              <from>
                <xdr:col>2</xdr:col>
                <xdr:colOff>95250</xdr:colOff>
                <xdr:row>9</xdr:row>
                <xdr:rowOff>104775</xdr:rowOff>
              </from>
              <to>
                <xdr:col>2</xdr:col>
                <xdr:colOff>1819275</xdr:colOff>
                <xdr:row>9</xdr:row>
                <xdr:rowOff>419100</xdr:rowOff>
              </to>
            </anchor>
          </controlPr>
        </control>
      </mc:Choice>
      <mc:Fallback>
        <control shapeId="1031" r:id="rId17" name="btnptDistRemainingTerm"/>
      </mc:Fallback>
    </mc:AlternateContent>
    <mc:AlternateContent xmlns:mc="http://schemas.openxmlformats.org/markup-compatibility/2006">
      <mc:Choice Requires="x14">
        <control shapeId="1032" r:id="rId19" name="btnptDistInterest">
          <controlPr autoLine="0" r:id="rId20">
            <anchor moveWithCells="1">
              <from>
                <xdr:col>2</xdr:col>
                <xdr:colOff>95250</xdr:colOff>
                <xdr:row>11</xdr:row>
                <xdr:rowOff>104775</xdr:rowOff>
              </from>
              <to>
                <xdr:col>2</xdr:col>
                <xdr:colOff>1819275</xdr:colOff>
                <xdr:row>11</xdr:row>
                <xdr:rowOff>419100</xdr:rowOff>
              </to>
            </anchor>
          </controlPr>
        </control>
      </mc:Choice>
      <mc:Fallback>
        <control shapeId="1032" r:id="rId19" name="btnptDistInterest"/>
      </mc:Fallback>
    </mc:AlternateContent>
    <mc:AlternateContent xmlns:mc="http://schemas.openxmlformats.org/markup-compatibility/2006">
      <mc:Choice Requires="x14">
        <control shapeId="1033" r:id="rId21" name="btnptDistBalance">
          <controlPr autoLine="0" r:id="rId22">
            <anchor moveWithCells="1">
              <from>
                <xdr:col>2</xdr:col>
                <xdr:colOff>95250</xdr:colOff>
                <xdr:row>12</xdr:row>
                <xdr:rowOff>104775</xdr:rowOff>
              </from>
              <to>
                <xdr:col>2</xdr:col>
                <xdr:colOff>1819275</xdr:colOff>
                <xdr:row>12</xdr:row>
                <xdr:rowOff>419100</xdr:rowOff>
              </to>
            </anchor>
          </controlPr>
        </control>
      </mc:Choice>
      <mc:Fallback>
        <control shapeId="1033" r:id="rId21" name="btnptDistBalance"/>
      </mc:Fallback>
    </mc:AlternateContent>
    <mc:AlternateContent xmlns:mc="http://schemas.openxmlformats.org/markup-compatibility/2006">
      <mc:Choice Requires="x14">
        <control shapeId="1035" r:id="rId23" name="btnptDistFiveClass">
          <controlPr autoLine="0" r:id="rId24">
            <anchor moveWithCells="1">
              <from>
                <xdr:col>2</xdr:col>
                <xdr:colOff>95250</xdr:colOff>
                <xdr:row>14</xdr:row>
                <xdr:rowOff>104775</xdr:rowOff>
              </from>
              <to>
                <xdr:col>2</xdr:col>
                <xdr:colOff>1819275</xdr:colOff>
                <xdr:row>14</xdr:row>
                <xdr:rowOff>419100</xdr:rowOff>
              </to>
            </anchor>
          </controlPr>
        </control>
      </mc:Choice>
      <mc:Fallback>
        <control shapeId="1035" r:id="rId23" name="btnptDistFiveClass"/>
      </mc:Fallback>
    </mc:AlternateContent>
    <mc:AlternateContent xmlns:mc="http://schemas.openxmlformats.org/markup-compatibility/2006">
      <mc:Choice Requires="x14">
        <control shapeId="1036" r:id="rId25" name="btnptDistBranch">
          <controlPr autoLine="0" r:id="rId26">
            <anchor moveWithCells="1">
              <from>
                <xdr:col>2</xdr:col>
                <xdr:colOff>95250</xdr:colOff>
                <xdr:row>15</xdr:row>
                <xdr:rowOff>104775</xdr:rowOff>
              </from>
              <to>
                <xdr:col>2</xdr:col>
                <xdr:colOff>1819275</xdr:colOff>
                <xdr:row>15</xdr:row>
                <xdr:rowOff>419100</xdr:rowOff>
              </to>
            </anchor>
          </controlPr>
        </control>
      </mc:Choice>
      <mc:Fallback>
        <control shapeId="1036" r:id="rId25" name="btnptDistBranch"/>
      </mc:Fallback>
    </mc:AlternateContent>
    <mc:AlternateContent xmlns:mc="http://schemas.openxmlformats.org/markup-compatibility/2006">
      <mc:Choice Requires="x14">
        <control shapeId="1037" r:id="rId27" name="btnptDistCustomerSector">
          <controlPr autoLine="0" r:id="rId28">
            <anchor moveWithCells="1">
              <from>
                <xdr:col>2</xdr:col>
                <xdr:colOff>95250</xdr:colOff>
                <xdr:row>16</xdr:row>
                <xdr:rowOff>104775</xdr:rowOff>
              </from>
              <to>
                <xdr:col>2</xdr:col>
                <xdr:colOff>1819275</xdr:colOff>
                <xdr:row>16</xdr:row>
                <xdr:rowOff>419100</xdr:rowOff>
              </to>
            </anchor>
          </controlPr>
        </control>
      </mc:Choice>
      <mc:Fallback>
        <control shapeId="1037" r:id="rId27" name="btnptDistCustomerSector"/>
      </mc:Fallback>
    </mc:AlternateContent>
    <mc:AlternateContent xmlns:mc="http://schemas.openxmlformats.org/markup-compatibility/2006">
      <mc:Choice Requires="x14">
        <control shapeId="1038" r:id="rId29" name="btnptDistGuarantee">
          <controlPr autoLine="0" r:id="rId30">
            <anchor moveWithCells="1">
              <from>
                <xdr:col>2</xdr:col>
                <xdr:colOff>95250</xdr:colOff>
                <xdr:row>17</xdr:row>
                <xdr:rowOff>104775</xdr:rowOff>
              </from>
              <to>
                <xdr:col>2</xdr:col>
                <xdr:colOff>1819275</xdr:colOff>
                <xdr:row>17</xdr:row>
                <xdr:rowOff>419100</xdr:rowOff>
              </to>
            </anchor>
          </controlPr>
        </control>
      </mc:Choice>
      <mc:Fallback>
        <control shapeId="1038" r:id="rId29" name="btnptDistGuarantee"/>
      </mc:Fallback>
    </mc:AlternateContent>
    <mc:AlternateContent xmlns:mc="http://schemas.openxmlformats.org/markup-compatibility/2006">
      <mc:Choice Requires="x14">
        <control shapeId="1055" r:id="rId31" name="btnptReportsDT">
          <controlPr autoLine="0" r:id="rId32">
            <anchor moveWithCells="1">
              <from>
                <xdr:col>2</xdr:col>
                <xdr:colOff>95250</xdr:colOff>
                <xdr:row>21</xdr:row>
                <xdr:rowOff>104775</xdr:rowOff>
              </from>
              <to>
                <xdr:col>2</xdr:col>
                <xdr:colOff>1819275</xdr:colOff>
                <xdr:row>21</xdr:row>
                <xdr:rowOff>419100</xdr:rowOff>
              </to>
            </anchor>
          </controlPr>
        </control>
      </mc:Choice>
      <mc:Fallback>
        <control shapeId="1055" r:id="rId31" name="btnptReportsDT"/>
      </mc:Fallback>
    </mc:AlternateContent>
    <mc:AlternateContent xmlns:mc="http://schemas.openxmlformats.org/markup-compatibility/2006">
      <mc:Choice Requires="x14">
        <control shapeId="1056" r:id="rId33" name="btnRefreshAll">
          <controlPr autoLine="0" r:id="rId34">
            <anchor moveWithCells="1">
              <from>
                <xdr:col>2</xdr:col>
                <xdr:colOff>66675</xdr:colOff>
                <xdr:row>4</xdr:row>
                <xdr:rowOff>66675</xdr:rowOff>
              </from>
              <to>
                <xdr:col>4</xdr:col>
                <xdr:colOff>971550</xdr:colOff>
                <xdr:row>4</xdr:row>
                <xdr:rowOff>447675</xdr:rowOff>
              </to>
            </anchor>
          </controlPr>
        </control>
      </mc:Choice>
      <mc:Fallback>
        <control shapeId="1056" r:id="rId33" name="btnRefreshAll"/>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showRowColHeaders="0" tabSelected="1" topLeftCell="A7" workbookViewId="0">
      <selection activeCell="A26" sqref="A26"/>
    </sheetView>
  </sheetViews>
  <sheetFormatPr defaultColWidth="9.140625" defaultRowHeight="12.75"/>
  <cols>
    <col min="1" max="1" width="41.28515625" style="18" customWidth="1"/>
    <col min="2" max="2" width="16.42578125" style="18" customWidth="1"/>
    <col min="3" max="3" width="24.28515625" style="18" customWidth="1"/>
    <col min="4" max="4" width="23.85546875" style="18" customWidth="1"/>
    <col min="5" max="5" width="22.7109375" style="18" customWidth="1"/>
    <col min="6" max="11" width="9.140625" style="18"/>
    <col min="12" max="12" width="19.7109375" style="18" customWidth="1"/>
    <col min="13" max="13" width="26.85546875" style="18" customWidth="1"/>
    <col min="14" max="16384" width="9.140625" style="18"/>
  </cols>
  <sheetData>
    <row r="1" spans="1:3" ht="15">
      <c r="A1" s="34" t="s">
        <v>33</v>
      </c>
      <c r="B1" s="16" t="s" vm="2">
        <v>91</v>
      </c>
      <c r="C1"/>
    </row>
    <row r="2" spans="1:3" ht="15">
      <c r="A2" s="34" t="s">
        <v>34</v>
      </c>
      <c r="B2" s="16" t="s" vm="1">
        <v>41</v>
      </c>
      <c r="C2"/>
    </row>
    <row r="3" spans="1:3" ht="15">
      <c r="A3"/>
      <c r="B3"/>
      <c r="C3"/>
    </row>
    <row r="4" spans="1:3" ht="15">
      <c r="A4" s="34" t="s">
        <v>7</v>
      </c>
      <c r="B4"/>
      <c r="C4"/>
    </row>
    <row r="5" spans="1:3" ht="15">
      <c r="A5" s="38" t="s">
        <v>44</v>
      </c>
      <c r="B5" s="39">
        <v>691163050.29001021</v>
      </c>
      <c r="C5"/>
    </row>
    <row r="6" spans="1:3" ht="15">
      <c r="A6" s="38" t="s">
        <v>45</v>
      </c>
      <c r="B6" s="39">
        <v>1036328732.9399675</v>
      </c>
      <c r="C6"/>
    </row>
    <row r="7" spans="1:3" ht="15">
      <c r="A7" s="38" t="s">
        <v>46</v>
      </c>
      <c r="B7" s="46">
        <v>1468366</v>
      </c>
      <c r="C7"/>
    </row>
    <row r="8" spans="1:3" ht="15">
      <c r="A8" s="38" t="s">
        <v>47</v>
      </c>
      <c r="B8" s="39">
        <v>470.70216164771603</v>
      </c>
      <c r="C8"/>
    </row>
    <row r="9" spans="1:3" ht="15">
      <c r="A9" s="38" t="s">
        <v>48</v>
      </c>
      <c r="B9" s="39">
        <v>705.77004162447747</v>
      </c>
      <c r="C9"/>
    </row>
    <row r="10" spans="1:3" ht="15">
      <c r="A10" s="38" t="s">
        <v>49</v>
      </c>
      <c r="B10" s="40">
        <v>2.8731595756844247E-3</v>
      </c>
      <c r="C10"/>
    </row>
    <row r="11" spans="1:3" ht="15">
      <c r="A11" s="38" t="s">
        <v>50</v>
      </c>
      <c r="B11" s="41">
        <v>3.4477770311334131</v>
      </c>
      <c r="C11"/>
    </row>
    <row r="12" spans="1:3" ht="15">
      <c r="A12" s="38" t="s">
        <v>51</v>
      </c>
      <c r="B12" s="47">
        <v>14.66407249036455</v>
      </c>
      <c r="C12"/>
    </row>
    <row r="13" spans="1:3" ht="15">
      <c r="A13" s="38" t="s">
        <v>52</v>
      </c>
      <c r="B13" s="42">
        <v>10.234570748628839</v>
      </c>
      <c r="C13"/>
    </row>
    <row r="14" spans="1:3" ht="15">
      <c r="A14" s="38" t="s">
        <v>53</v>
      </c>
      <c r="B14" s="42">
        <v>4.4295000893182745</v>
      </c>
      <c r="C14"/>
    </row>
    <row r="15" spans="1:3" ht="15">
      <c r="A15" s="38" t="s">
        <v>74</v>
      </c>
      <c r="B15" s="41">
        <v>20290</v>
      </c>
      <c r="C15"/>
    </row>
    <row r="16" spans="1:3" ht="15">
      <c r="A16" s="38" t="s">
        <v>75</v>
      </c>
      <c r="B16" s="41">
        <v>19988</v>
      </c>
      <c r="C16"/>
    </row>
    <row r="17" spans="1:3" ht="15">
      <c r="A17" s="38" t="s">
        <v>76</v>
      </c>
      <c r="B17" s="41">
        <v>0.115</v>
      </c>
      <c r="C17"/>
    </row>
    <row r="18" spans="1:3" ht="15">
      <c r="A18" s="38" t="s">
        <v>78</v>
      </c>
      <c r="B18" s="41">
        <v>24</v>
      </c>
      <c r="C18"/>
    </row>
    <row r="19" spans="1:3" ht="15">
      <c r="A19" s="38" t="s">
        <v>77</v>
      </c>
      <c r="B19" s="41">
        <v>1</v>
      </c>
      <c r="C19"/>
    </row>
    <row r="20" spans="1:3" ht="15">
      <c r="A20" s="38" t="s">
        <v>79</v>
      </c>
      <c r="B20" s="40">
        <v>0.49480775411416178</v>
      </c>
      <c r="C20"/>
    </row>
    <row r="21" spans="1:3" ht="15">
      <c r="A21" s="38" t="s">
        <v>80</v>
      </c>
      <c r="B21" s="43"/>
      <c r="C21"/>
    </row>
    <row r="22" spans="1:3" ht="15">
      <c r="A22" s="38" t="s">
        <v>139</v>
      </c>
      <c r="B22" s="41"/>
      <c r="C22"/>
    </row>
    <row r="23" spans="1:3" ht="15">
      <c r="A23" s="38" t="s">
        <v>121</v>
      </c>
      <c r="B23" s="43">
        <v>0</v>
      </c>
      <c r="C23"/>
    </row>
    <row r="24" spans="1:3" ht="15">
      <c r="A24" s="38" t="s">
        <v>122</v>
      </c>
      <c r="B24" s="43">
        <v>0</v>
      </c>
      <c r="C24"/>
    </row>
    <row r="25" spans="1:3" ht="15">
      <c r="A25"/>
      <c r="B25"/>
      <c r="C25"/>
    </row>
    <row r="26" spans="1:3" ht="15">
      <c r="A26"/>
      <c r="B26"/>
      <c r="C26"/>
    </row>
    <row r="27" spans="1:3" ht="15">
      <c r="A27"/>
      <c r="B27"/>
      <c r="C27"/>
    </row>
    <row r="28" spans="1:3" ht="15">
      <c r="A28"/>
      <c r="B28"/>
      <c r="C28"/>
    </row>
    <row r="29" spans="1:3" ht="15">
      <c r="A29"/>
      <c r="B29"/>
      <c r="C29"/>
    </row>
    <row r="30" spans="1:3" ht="15">
      <c r="A30"/>
      <c r="B30"/>
      <c r="C30"/>
    </row>
    <row r="31" spans="1:3" ht="15">
      <c r="A31"/>
      <c r="B31"/>
      <c r="C31"/>
    </row>
    <row r="32" spans="1:3" ht="15">
      <c r="A32"/>
      <c r="B32"/>
      <c r="C32"/>
    </row>
    <row r="33" spans="1:5" ht="15">
      <c r="A33"/>
      <c r="B33"/>
      <c r="C33"/>
    </row>
    <row r="34" spans="1:5" ht="15">
      <c r="A34"/>
      <c r="B34"/>
      <c r="C34"/>
    </row>
    <row r="35" spans="1:5" ht="15">
      <c r="A35"/>
      <c r="B35"/>
      <c r="C35"/>
    </row>
    <row r="38" spans="1:5">
      <c r="A38" s="28"/>
      <c r="B38" s="23"/>
      <c r="C38" s="22"/>
      <c r="D38" s="22"/>
      <c r="E38" s="22"/>
    </row>
    <row r="39" spans="1:5">
      <c r="A39" s="19"/>
      <c r="D39" s="45"/>
    </row>
    <row r="40" spans="1:5">
      <c r="A40" s="19"/>
      <c r="D40" s="45"/>
    </row>
    <row r="41" spans="1:5">
      <c r="A41" s="19"/>
      <c r="D41" s="45"/>
    </row>
    <row r="44" spans="1:5">
      <c r="B44" s="23"/>
      <c r="C44" s="23"/>
    </row>
    <row r="45" spans="1:5">
      <c r="B45" s="23"/>
      <c r="C45" s="21"/>
    </row>
    <row r="46" spans="1:5">
      <c r="B46" s="23"/>
      <c r="C46" s="21"/>
    </row>
    <row r="47" spans="1:5">
      <c r="B47" s="23"/>
      <c r="C47" s="30"/>
    </row>
    <row r="48" spans="1:5">
      <c r="B48" s="23"/>
      <c r="C48" s="30"/>
    </row>
  </sheetData>
  <mergeCells count="1">
    <mergeCell ref="D39:D41"/>
  </mergeCells>
  <phoneticPr fontId="14" type="noConversion"/>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L93"/>
  <sheetViews>
    <sheetView showGridLines="0" showRowColHeaders="0" zoomScale="80" zoomScaleNormal="80" workbookViewId="0">
      <selection activeCell="BV21" sqref="BV21"/>
    </sheetView>
  </sheetViews>
  <sheetFormatPr defaultRowHeight="15"/>
  <cols>
    <col min="1" max="1" width="17.140625" customWidth="1"/>
    <col min="2" max="2" width="15.85546875" customWidth="1"/>
    <col min="3" max="3" width="14.28515625" customWidth="1"/>
    <col min="4" max="4" width="14.28515625" style="17" customWidth="1"/>
    <col min="5" max="5" width="14.28515625" customWidth="1"/>
    <col min="6" max="6" width="9.7109375" customWidth="1"/>
    <col min="7" max="7" width="17.140625" customWidth="1"/>
    <col min="8" max="8" width="15.85546875" customWidth="1"/>
    <col min="9" max="9" width="14.28515625" customWidth="1"/>
    <col min="10" max="11" width="14.28515625" style="17" customWidth="1"/>
    <col min="13" max="13" width="21.5703125" customWidth="1"/>
    <col min="14" max="14" width="15.85546875" customWidth="1"/>
    <col min="15" max="17" width="14.28515625" customWidth="1"/>
    <col min="18" max="18" width="12.140625" style="17" customWidth="1"/>
    <col min="19" max="19" width="29.42578125" customWidth="1"/>
    <col min="20" max="20" width="15.85546875" customWidth="1"/>
    <col min="21" max="23" width="14.28515625" customWidth="1"/>
    <col min="24" max="24" width="10.7109375" customWidth="1"/>
    <col min="25" max="25" width="18.140625" style="17" customWidth="1"/>
    <col min="26" max="26" width="15.85546875" customWidth="1"/>
    <col min="27" max="29" width="14.28515625" customWidth="1"/>
    <col min="30" max="30" width="15.85546875" bestFit="1" customWidth="1"/>
    <col min="31" max="31" width="15.85546875" customWidth="1"/>
    <col min="32" max="32" width="14.28515625" style="17" customWidth="1"/>
    <col min="33" max="35" width="14.28515625" customWidth="1"/>
    <col min="36" max="36" width="13.42578125" customWidth="1"/>
    <col min="37" max="37" width="15.85546875" customWidth="1"/>
    <col min="38" max="38" width="14.28515625" customWidth="1"/>
    <col min="39" max="39" width="14.28515625" style="17" customWidth="1"/>
    <col min="40" max="41" width="14.28515625" customWidth="1"/>
    <col min="43" max="43" width="17.140625" customWidth="1"/>
    <col min="44" max="44" width="12" customWidth="1"/>
    <col min="45" max="45" width="14.28515625" customWidth="1"/>
    <col min="46" max="46" width="9.85546875" customWidth="1"/>
    <col min="47" max="47" width="14.28515625" customWidth="1"/>
    <col min="48" max="48" width="33.85546875" style="17" customWidth="1"/>
    <col min="49" max="49" width="12.7109375" customWidth="1"/>
    <col min="50" max="50" width="15.85546875" customWidth="1"/>
    <col min="51" max="51" width="14.28515625" bestFit="1" customWidth="1"/>
    <col min="52" max="53" width="14.28515625" customWidth="1"/>
    <col min="54" max="54" width="14.28515625" style="16" customWidth="1"/>
    <col min="55" max="55" width="12.7109375" customWidth="1"/>
    <col min="56" max="56" width="15.85546875" style="17" customWidth="1"/>
    <col min="57" max="58" width="14.28515625" customWidth="1"/>
    <col min="59" max="59" width="14.28515625" bestFit="1" customWidth="1"/>
    <col min="60" max="60" width="14.28515625" style="16" customWidth="1"/>
    <col min="61" max="61" width="14.85546875" customWidth="1"/>
    <col min="62" max="62" width="15.85546875" customWidth="1"/>
    <col min="63" max="63" width="14.28515625" customWidth="1"/>
    <col min="64" max="64" width="14.28515625" style="17" customWidth="1"/>
    <col min="65" max="65" width="14.28515625" customWidth="1"/>
    <col min="66" max="66" width="14.28515625" style="16" customWidth="1"/>
    <col min="67" max="67" width="17.140625" customWidth="1"/>
    <col min="68" max="68" width="15.85546875" customWidth="1"/>
    <col min="69" max="70" width="14.28515625" customWidth="1"/>
    <col min="71" max="71" width="14.28515625" bestFit="1" customWidth="1"/>
    <col min="72" max="72" width="14.28515625" style="16" customWidth="1"/>
    <col min="73" max="73" width="17.140625" style="17" bestFit="1" customWidth="1"/>
    <col min="74" max="74" width="15.85546875" customWidth="1"/>
    <col min="75" max="75" width="14.28515625" customWidth="1"/>
    <col min="76" max="76" width="14.28515625" bestFit="1" customWidth="1"/>
    <col min="77" max="77" width="14.28515625" customWidth="1"/>
    <col min="78" max="78" width="14.28515625" style="16" customWidth="1"/>
    <col min="79" max="79" width="17.140625" customWidth="1"/>
    <col min="80" max="80" width="15.85546875" customWidth="1"/>
    <col min="81" max="81" width="14.28515625" style="17" customWidth="1"/>
    <col min="82" max="83" width="14.28515625" customWidth="1"/>
    <col min="84" max="84" width="14.28515625" style="16" customWidth="1"/>
    <col min="85" max="85" width="19.28515625" bestFit="1" customWidth="1"/>
    <col min="86" max="86" width="15.85546875" bestFit="1" customWidth="1"/>
    <col min="87" max="89" width="14.28515625" bestFit="1" customWidth="1"/>
    <col min="90" max="90" width="14.28515625" style="16" customWidth="1"/>
    <col min="91" max="91" width="12.7109375" customWidth="1"/>
    <col min="92" max="92" width="15.85546875" bestFit="1" customWidth="1"/>
    <col min="93" max="95" width="14.28515625" bestFit="1" customWidth="1"/>
    <col min="96" max="96" width="14.28515625" style="16" customWidth="1"/>
    <col min="97" max="97" width="17.140625" bestFit="1" customWidth="1"/>
    <col min="98" max="98" width="15.85546875" bestFit="1" customWidth="1"/>
    <col min="99" max="101" width="14.28515625" bestFit="1" customWidth="1"/>
    <col min="102" max="102" width="14.28515625" style="16" customWidth="1"/>
    <col min="103" max="103" width="17.140625" customWidth="1"/>
    <col min="104" max="104" width="15.85546875" customWidth="1"/>
    <col min="105" max="107" width="14.28515625" bestFit="1" customWidth="1"/>
  </cols>
  <sheetData>
    <row r="1" spans="1:102">
      <c r="C1" s="9"/>
      <c r="D1" s="10"/>
      <c r="E1" s="9"/>
      <c r="F1" s="9"/>
      <c r="I1" s="9"/>
      <c r="J1" s="10"/>
      <c r="K1" s="9"/>
      <c r="L1" s="9"/>
      <c r="O1" s="9"/>
      <c r="P1" s="10"/>
      <c r="Q1" s="9"/>
      <c r="R1" s="10"/>
      <c r="U1" s="9"/>
      <c r="V1" s="10"/>
      <c r="W1" s="9"/>
      <c r="AA1" s="9"/>
      <c r="AB1" s="10"/>
      <c r="AC1" s="9"/>
      <c r="AD1" s="8"/>
      <c r="AG1" s="9"/>
      <c r="AH1" s="10"/>
      <c r="AI1" s="9"/>
      <c r="AJ1" s="11"/>
      <c r="AM1" s="9"/>
      <c r="AN1" s="10"/>
      <c r="AO1" s="9"/>
      <c r="AQ1" s="20"/>
      <c r="AR1" s="6"/>
      <c r="AS1" s="6"/>
      <c r="AU1" s="7"/>
      <c r="AV1" s="5"/>
      <c r="AW1" s="1"/>
      <c r="AX1" s="4"/>
      <c r="AY1" s="1"/>
      <c r="AZ1" s="1"/>
      <c r="BD1" s="8"/>
      <c r="BE1" s="9"/>
      <c r="BF1" s="10"/>
      <c r="BG1" s="9"/>
      <c r="BH1" s="9"/>
      <c r="BI1" s="9"/>
      <c r="BK1" s="3"/>
      <c r="BL1" s="8"/>
      <c r="BM1" s="9"/>
      <c r="BN1" s="9"/>
      <c r="BO1" s="10"/>
      <c r="BP1" s="9"/>
      <c r="BQ1" s="9"/>
      <c r="BU1"/>
      <c r="CC1"/>
    </row>
    <row r="2" spans="1:102" s="2" customFormat="1">
      <c r="A2" s="19"/>
      <c r="B2" s="18"/>
      <c r="C2" s="9"/>
      <c r="D2" s="10"/>
      <c r="E2" s="9"/>
      <c r="F2" s="9"/>
      <c r="G2" s="19"/>
      <c r="H2" s="18"/>
      <c r="I2" s="9"/>
      <c r="J2" s="10"/>
      <c r="K2" s="9"/>
      <c r="L2" s="9"/>
      <c r="M2" s="19"/>
      <c r="N2" s="18"/>
      <c r="O2" s="9"/>
      <c r="P2" s="10"/>
      <c r="Q2" s="9"/>
      <c r="R2" s="10"/>
      <c r="S2" s="19"/>
      <c r="T2" s="18"/>
      <c r="U2" s="9"/>
      <c r="V2" s="10"/>
      <c r="W2" s="9"/>
      <c r="Y2" s="19"/>
      <c r="Z2" s="18"/>
      <c r="AA2" s="9"/>
      <c r="AB2" s="10"/>
      <c r="AC2" s="9"/>
      <c r="AD2" s="18"/>
      <c r="AE2" s="19"/>
      <c r="AF2" s="18"/>
      <c r="AG2" s="9"/>
      <c r="AH2" s="10"/>
      <c r="AI2" s="9"/>
      <c r="AJ2" s="19"/>
      <c r="AK2" s="19"/>
      <c r="AL2" s="18"/>
      <c r="AM2" s="9"/>
      <c r="AN2" s="10"/>
      <c r="AO2" s="9"/>
      <c r="AQ2" s="20"/>
      <c r="AR2" s="6"/>
      <c r="AS2" s="6"/>
      <c r="AU2" s="19"/>
      <c r="AV2" s="18"/>
      <c r="AW2" s="1"/>
      <c r="AX2" s="4"/>
      <c r="AY2" s="1"/>
      <c r="AZ2" s="1"/>
      <c r="BA2"/>
      <c r="BB2" s="16"/>
      <c r="BC2"/>
      <c r="BD2"/>
      <c r="BE2" s="9"/>
      <c r="BF2" s="10"/>
      <c r="BG2" s="9"/>
      <c r="BH2" s="9"/>
      <c r="BI2" s="9"/>
      <c r="BK2" s="19"/>
      <c r="BL2" s="18"/>
      <c r="BM2" s="9"/>
      <c r="BN2" s="9"/>
      <c r="BO2" s="10"/>
      <c r="BP2" s="9"/>
      <c r="BQ2" s="9"/>
      <c r="BT2" s="16"/>
      <c r="BZ2" s="16"/>
      <c r="CF2" s="16"/>
      <c r="CL2" s="16"/>
      <c r="CR2" s="16"/>
      <c r="CX2" s="16"/>
    </row>
    <row r="3" spans="1:102">
      <c r="AD3" s="21"/>
      <c r="AJ3" s="19"/>
      <c r="AQ3" s="6"/>
      <c r="AS3" s="19"/>
      <c r="AT3" s="21"/>
      <c r="AV3" s="20"/>
      <c r="AW3" s="6"/>
      <c r="AX3" s="6"/>
      <c r="AZ3" s="19"/>
      <c r="BA3" s="21"/>
      <c r="BB3" s="21"/>
      <c r="BC3" s="6"/>
      <c r="BD3" s="20"/>
      <c r="BE3" s="6"/>
      <c r="BF3" s="6"/>
      <c r="BI3" s="19"/>
      <c r="BJ3" s="21"/>
      <c r="BK3" s="2"/>
      <c r="BM3" s="2"/>
      <c r="BO3" s="2"/>
      <c r="BV3" s="9"/>
      <c r="BW3" s="9"/>
      <c r="BY3" s="19"/>
      <c r="BZ3" s="19"/>
      <c r="CA3" s="21"/>
      <c r="CB3" s="9"/>
      <c r="CC3" s="10"/>
      <c r="CD3" s="9"/>
      <c r="CE3" s="9"/>
      <c r="CF3" s="9"/>
    </row>
    <row r="4" spans="1:102">
      <c r="AD4" s="21"/>
      <c r="AJ4" s="19"/>
      <c r="AQ4" s="6"/>
      <c r="AS4" s="19"/>
      <c r="AT4" s="21"/>
      <c r="AV4" s="20"/>
      <c r="AW4" s="6"/>
      <c r="AX4" s="6"/>
      <c r="AZ4" s="19"/>
      <c r="BA4" s="21"/>
      <c r="BB4" s="21"/>
      <c r="BC4" s="6"/>
      <c r="BD4" s="20"/>
      <c r="BE4" s="6"/>
      <c r="BF4" s="6"/>
      <c r="BI4" s="19"/>
      <c r="BJ4" s="21"/>
      <c r="BV4" s="6"/>
      <c r="BW4" s="6"/>
      <c r="BY4" s="19"/>
      <c r="BZ4" s="19"/>
      <c r="CA4" s="21"/>
      <c r="CB4" s="6"/>
      <c r="CC4" s="20"/>
      <c r="CD4" s="6"/>
      <c r="CE4" s="6"/>
      <c r="CF4" s="18"/>
    </row>
    <row r="5" spans="1:102">
      <c r="AD5" s="18"/>
      <c r="AJ5" s="19"/>
      <c r="AQ5" s="6"/>
      <c r="AS5" s="19"/>
      <c r="AT5" s="18"/>
      <c r="AV5" s="20"/>
      <c r="AW5" s="6"/>
      <c r="AX5" s="6"/>
      <c r="AZ5" s="19"/>
      <c r="BA5" s="18"/>
      <c r="BB5" s="18"/>
      <c r="BI5" s="19"/>
      <c r="BJ5" s="18"/>
      <c r="BV5" s="6"/>
      <c r="BW5" s="6"/>
      <c r="BY5" s="19"/>
      <c r="BZ5" s="19"/>
      <c r="CA5" s="18"/>
      <c r="CB5" s="6"/>
      <c r="CC5" s="20"/>
      <c r="CD5" s="6"/>
      <c r="CE5" s="6"/>
      <c r="CF5" s="18"/>
    </row>
    <row r="6" spans="1:102">
      <c r="AQ6" s="6"/>
      <c r="AV6" s="20"/>
      <c r="AW6" s="6"/>
      <c r="AX6" s="6"/>
      <c r="BV6" s="6"/>
      <c r="BW6" s="6"/>
      <c r="BY6" s="19"/>
      <c r="BZ6" s="19"/>
      <c r="CA6" s="18"/>
    </row>
    <row r="7" spans="1:102">
      <c r="F7" s="26"/>
      <c r="L7" s="26"/>
      <c r="R7" s="26"/>
      <c r="AD7" s="27"/>
      <c r="AJ7" s="18"/>
      <c r="AQ7" s="26"/>
      <c r="AS7" s="18"/>
      <c r="AT7" s="27"/>
      <c r="AU7" s="26"/>
      <c r="AV7" s="26"/>
      <c r="AW7" s="26"/>
      <c r="AX7" s="26"/>
      <c r="AZ7" s="18"/>
      <c r="BA7" s="27"/>
      <c r="BB7" s="27"/>
      <c r="BC7" s="26"/>
      <c r="BD7" s="26"/>
      <c r="BE7" s="26"/>
      <c r="BF7" s="26"/>
      <c r="BI7" s="18"/>
      <c r="BJ7" s="27"/>
      <c r="BK7" s="26"/>
      <c r="BL7" s="26"/>
      <c r="BM7" s="26"/>
      <c r="BN7" s="26"/>
      <c r="BO7" s="26"/>
      <c r="BV7" s="6"/>
      <c r="BW7" s="6"/>
    </row>
    <row r="8" spans="1:102">
      <c r="F8" s="23"/>
      <c r="L8" s="23"/>
      <c r="R8" s="26"/>
      <c r="X8" s="26"/>
      <c r="AD8" s="27"/>
      <c r="AJ8" s="18"/>
      <c r="AQ8" s="23"/>
      <c r="AS8" s="18"/>
      <c r="AT8" s="27"/>
      <c r="AU8" s="23"/>
      <c r="AV8" s="26"/>
      <c r="AW8" s="23"/>
      <c r="AX8" s="23"/>
      <c r="AZ8" s="18"/>
      <c r="BA8" s="27"/>
      <c r="BB8" s="27"/>
      <c r="BC8" s="23"/>
      <c r="BD8" s="26"/>
      <c r="BE8" s="23"/>
      <c r="BF8" s="23"/>
      <c r="BI8" s="18"/>
      <c r="BJ8" s="27"/>
      <c r="BK8" s="23"/>
      <c r="BL8" s="26"/>
      <c r="BM8" s="23"/>
      <c r="BN8" s="23"/>
      <c r="BO8" s="23"/>
      <c r="BV8" s="26"/>
      <c r="BW8" s="26"/>
      <c r="BY8" s="18"/>
      <c r="BZ8" s="18"/>
      <c r="CA8" s="27"/>
      <c r="CB8" s="26"/>
      <c r="CC8" s="26"/>
      <c r="CD8" s="26"/>
      <c r="CE8" s="26"/>
      <c r="CF8" s="26"/>
    </row>
    <row r="9" spans="1:102">
      <c r="F9" s="24"/>
      <c r="L9" s="24"/>
      <c r="R9" s="20"/>
      <c r="X9" s="23"/>
      <c r="AD9" s="29"/>
      <c r="AJ9" s="23"/>
      <c r="AQ9" s="24"/>
      <c r="AS9" s="31"/>
      <c r="AT9" s="29"/>
      <c r="AU9" s="26"/>
      <c r="AV9" s="25"/>
      <c r="AW9" s="24"/>
      <c r="AX9" s="24"/>
      <c r="AZ9" s="23"/>
      <c r="BA9" s="29"/>
      <c r="BB9" s="29"/>
      <c r="BC9" s="26"/>
      <c r="BD9" s="20"/>
      <c r="BE9" s="24"/>
      <c r="BF9" s="24"/>
      <c r="BI9" s="23"/>
      <c r="BJ9" s="29"/>
      <c r="BK9" s="26"/>
      <c r="BL9" s="20"/>
      <c r="BM9" s="24"/>
      <c r="BN9" s="24"/>
      <c r="BO9" s="24"/>
      <c r="BV9" s="23"/>
      <c r="BW9" s="23"/>
      <c r="BY9" s="18"/>
      <c r="BZ9" s="18"/>
      <c r="CA9" s="27"/>
      <c r="CB9" s="23"/>
      <c r="CC9" s="26"/>
      <c r="CD9" s="23"/>
      <c r="CE9" s="23"/>
      <c r="CF9" s="23"/>
    </row>
    <row r="10" spans="1:102">
      <c r="F10" s="24"/>
      <c r="L10" s="24"/>
      <c r="R10" s="20"/>
      <c r="X10" s="26"/>
      <c r="AD10" s="29"/>
      <c r="AF10"/>
      <c r="AJ10" s="23"/>
      <c r="AQ10" s="24"/>
      <c r="AS10" s="31"/>
      <c r="AT10" s="29"/>
      <c r="AU10" s="26"/>
      <c r="AV10" s="25"/>
      <c r="AW10" s="24"/>
      <c r="AX10" s="24"/>
      <c r="AZ10" s="23"/>
      <c r="BA10" s="29"/>
      <c r="BB10" s="29"/>
      <c r="BC10" s="26"/>
      <c r="BD10" s="20"/>
      <c r="BE10" s="24"/>
      <c r="BF10" s="24"/>
      <c r="BI10" s="23"/>
      <c r="BJ10" s="29"/>
      <c r="BK10" s="26"/>
      <c r="BL10" s="20"/>
      <c r="BM10" s="24"/>
      <c r="BN10" s="24"/>
      <c r="BO10" s="24"/>
      <c r="BV10" s="24"/>
      <c r="BW10" s="24"/>
      <c r="BY10" s="23"/>
      <c r="BZ10" s="23"/>
      <c r="CA10" s="29"/>
      <c r="CB10" s="26"/>
      <c r="CC10" s="20"/>
      <c r="CD10" s="24"/>
      <c r="CE10" s="24"/>
      <c r="CF10" s="24"/>
    </row>
    <row r="11" spans="1:102">
      <c r="F11" s="24"/>
      <c r="L11" s="24"/>
      <c r="R11" s="20"/>
      <c r="X11" s="26"/>
      <c r="AD11" s="29"/>
      <c r="AF11"/>
      <c r="AJ11" s="23"/>
      <c r="AQ11" s="24"/>
      <c r="AS11" s="31"/>
      <c r="AT11" s="29"/>
      <c r="AU11" s="26"/>
      <c r="AV11" s="25"/>
      <c r="AW11" s="24"/>
      <c r="AX11" s="24"/>
      <c r="AZ11" s="23"/>
      <c r="BA11" s="29"/>
      <c r="BB11" s="29"/>
      <c r="BC11" s="26"/>
      <c r="BD11" s="20"/>
      <c r="BE11" s="24"/>
      <c r="BF11" s="24"/>
      <c r="BI11" s="23"/>
      <c r="BJ11" s="29"/>
      <c r="BK11" s="26"/>
      <c r="BL11" s="20"/>
      <c r="BM11" s="24"/>
      <c r="BN11" s="24"/>
      <c r="BO11" s="24"/>
      <c r="BV11" s="24"/>
      <c r="BW11" s="24"/>
      <c r="BY11" s="23"/>
      <c r="BZ11" s="23"/>
      <c r="CA11" s="29"/>
      <c r="CB11" s="26"/>
      <c r="CC11" s="20"/>
      <c r="CD11" s="24"/>
      <c r="CE11" s="24"/>
      <c r="CF11" s="24"/>
    </row>
    <row r="12" spans="1:102">
      <c r="F12" s="24"/>
      <c r="L12" s="24"/>
      <c r="R12" s="20"/>
      <c r="X12" s="26"/>
      <c r="AD12" s="29"/>
      <c r="AF12"/>
      <c r="AJ12" s="23"/>
      <c r="AS12" s="31"/>
      <c r="AT12" s="29"/>
      <c r="AU12" s="26"/>
      <c r="AV12" s="25"/>
      <c r="AW12" s="24"/>
      <c r="AX12" s="24"/>
      <c r="AZ12" s="23"/>
      <c r="BA12" s="29"/>
      <c r="BB12" s="29"/>
      <c r="BC12" s="26"/>
      <c r="BD12" s="20"/>
      <c r="BE12" s="24"/>
      <c r="BF12" s="24"/>
      <c r="BI12" s="23"/>
      <c r="BJ12" s="29"/>
      <c r="BK12" s="26"/>
      <c r="BL12" s="20"/>
      <c r="BM12" s="24"/>
      <c r="BN12" s="24"/>
      <c r="BO12" s="24"/>
      <c r="BV12" s="24"/>
      <c r="BW12" s="24"/>
      <c r="BY12" s="23"/>
      <c r="BZ12" s="23"/>
      <c r="CA12" s="29"/>
      <c r="CB12" s="26"/>
      <c r="CC12" s="20"/>
      <c r="CD12" s="24"/>
      <c r="CE12" s="24"/>
      <c r="CF12" s="24"/>
    </row>
    <row r="13" spans="1:102">
      <c r="F13" s="24"/>
      <c r="L13" s="24"/>
      <c r="R13" s="20"/>
      <c r="X13" s="26"/>
      <c r="AD13" s="29"/>
      <c r="AF13"/>
      <c r="AJ13" s="23"/>
      <c r="AS13" s="31"/>
      <c r="AT13" s="29"/>
      <c r="AU13" s="26"/>
      <c r="AV13" s="25"/>
      <c r="AW13" s="24"/>
      <c r="AX13" s="24"/>
      <c r="AZ13" s="23"/>
      <c r="BA13" s="29"/>
      <c r="BB13" s="29"/>
      <c r="BC13" s="26"/>
      <c r="BD13" s="20"/>
      <c r="BE13" s="24"/>
      <c r="BF13" s="24"/>
      <c r="BI13" s="23"/>
      <c r="BJ13" s="29"/>
      <c r="BK13" s="26"/>
      <c r="BL13" s="20"/>
      <c r="BM13" s="24"/>
      <c r="BN13" s="24"/>
      <c r="BO13" s="24"/>
      <c r="BV13" s="24"/>
      <c r="BW13" s="24"/>
      <c r="BY13" s="23"/>
      <c r="BZ13" s="23"/>
      <c r="CA13" s="29"/>
      <c r="CB13" s="26"/>
      <c r="CC13" s="20"/>
      <c r="CD13" s="24"/>
      <c r="CE13" s="24"/>
      <c r="CF13" s="24"/>
    </row>
    <row r="14" spans="1:102">
      <c r="F14" s="24"/>
      <c r="L14" s="24"/>
      <c r="R14" s="20"/>
      <c r="X14" s="26"/>
      <c r="AD14" s="29"/>
      <c r="AF14"/>
      <c r="AJ14" s="23"/>
      <c r="AK14" s="29"/>
      <c r="AL14" s="26"/>
      <c r="AM14" s="20"/>
      <c r="AN14" s="24"/>
      <c r="AO14" s="24"/>
      <c r="AT14" s="29"/>
      <c r="AU14" s="26"/>
      <c r="AV14" s="25"/>
      <c r="AW14" s="24"/>
      <c r="AX14" s="24"/>
      <c r="AZ14" s="23"/>
      <c r="BA14" s="29"/>
      <c r="BB14" s="29"/>
      <c r="BC14" s="26"/>
      <c r="BD14" s="20"/>
      <c r="BE14" s="24"/>
      <c r="BF14" s="24"/>
      <c r="BI14" s="23"/>
      <c r="BJ14" s="29"/>
      <c r="BK14" s="26"/>
      <c r="BL14" s="20"/>
      <c r="BM14" s="24"/>
      <c r="BN14" s="24"/>
      <c r="BO14" s="24"/>
      <c r="BV14" s="24"/>
      <c r="BW14" s="24"/>
      <c r="BY14" s="23"/>
      <c r="BZ14" s="23"/>
      <c r="CA14" s="29"/>
      <c r="CB14" s="26"/>
      <c r="CC14" s="20"/>
      <c r="CD14" s="24"/>
      <c r="CE14" s="24"/>
      <c r="CF14" s="24"/>
    </row>
    <row r="15" spans="1:102">
      <c r="F15" s="24"/>
      <c r="L15" s="24"/>
      <c r="R15" s="20"/>
      <c r="X15" s="26"/>
      <c r="AD15" s="29"/>
      <c r="AF15"/>
      <c r="AJ15" s="23"/>
      <c r="AK15" s="29"/>
      <c r="AL15" s="26"/>
      <c r="AM15" s="20"/>
      <c r="AN15" s="24"/>
      <c r="AO15" s="24"/>
      <c r="AT15" s="29"/>
      <c r="AU15" s="26"/>
      <c r="AV15" s="25"/>
      <c r="AW15" s="24"/>
      <c r="AX15" s="24"/>
      <c r="AZ15" s="23"/>
      <c r="BA15" s="29"/>
      <c r="BB15" s="29"/>
      <c r="BC15" s="26"/>
      <c r="BD15" s="20"/>
      <c r="BE15" s="24"/>
      <c r="BF15" s="24"/>
      <c r="BI15" s="23"/>
      <c r="BJ15" s="29"/>
      <c r="BK15" s="26"/>
      <c r="BL15" s="20"/>
      <c r="BM15" s="24"/>
      <c r="BN15" s="24"/>
      <c r="BO15" s="24"/>
      <c r="BV15" s="24"/>
      <c r="BW15" s="24"/>
      <c r="BY15" s="23"/>
      <c r="BZ15" s="23"/>
      <c r="CA15" s="29"/>
      <c r="CB15" s="26"/>
      <c r="CC15" s="20"/>
      <c r="CD15" s="24"/>
      <c r="CE15" s="24"/>
      <c r="CF15" s="24"/>
    </row>
    <row r="16" spans="1:102">
      <c r="F16" s="24"/>
      <c r="L16" s="24"/>
      <c r="R16" s="20"/>
      <c r="X16" s="26"/>
      <c r="AD16" s="29"/>
      <c r="AF16"/>
      <c r="AJ16" s="23"/>
      <c r="AM16" s="20"/>
      <c r="AN16" s="24"/>
      <c r="AO16" s="24"/>
      <c r="AT16" s="29"/>
      <c r="AU16" s="26"/>
      <c r="AV16" s="25"/>
      <c r="AW16" s="24"/>
      <c r="AX16" s="24"/>
      <c r="AZ16" s="23"/>
      <c r="BA16" s="29"/>
      <c r="BB16" s="29"/>
      <c r="BC16" s="26"/>
      <c r="BD16" s="20"/>
      <c r="BE16" s="24"/>
      <c r="BF16" s="24"/>
      <c r="BI16" s="23"/>
      <c r="BJ16" s="29"/>
      <c r="BK16" s="26"/>
      <c r="BL16" s="20"/>
      <c r="BM16" s="24"/>
      <c r="BN16" s="24"/>
      <c r="BO16" s="24"/>
      <c r="BV16" s="24"/>
      <c r="BW16" s="24"/>
      <c r="BY16" s="23"/>
      <c r="BZ16" s="23"/>
      <c r="CA16" s="29"/>
      <c r="CB16" s="26"/>
      <c r="CC16" s="20"/>
      <c r="CD16" s="24"/>
      <c r="CE16" s="24"/>
      <c r="CF16" s="24"/>
    </row>
    <row r="17" spans="1:116">
      <c r="A17" s="34" t="s">
        <v>33</v>
      </c>
      <c r="B17" s="16" t="s" vm="2">
        <v>91</v>
      </c>
      <c r="F17" s="24"/>
      <c r="G17" s="34" t="s">
        <v>33</v>
      </c>
      <c r="H17" s="16" t="s" vm="2">
        <v>91</v>
      </c>
      <c r="L17" s="24"/>
      <c r="M17" s="34" t="s">
        <v>33</v>
      </c>
      <c r="N17" s="16" t="s" vm="2">
        <v>91</v>
      </c>
      <c r="R17" s="20"/>
      <c r="S17" s="34" t="s">
        <v>33</v>
      </c>
      <c r="T17" s="16" t="s" vm="2">
        <v>91</v>
      </c>
      <c r="X17" s="26"/>
      <c r="Y17" s="34" t="s">
        <v>33</v>
      </c>
      <c r="Z17" s="16" t="s" vm="2">
        <v>91</v>
      </c>
      <c r="AD17" s="29"/>
      <c r="AE17" s="34" t="s">
        <v>33</v>
      </c>
      <c r="AF17" s="16" t="s" vm="2">
        <v>91</v>
      </c>
      <c r="AJ17" s="23"/>
      <c r="AK17" s="34" t="s">
        <v>33</v>
      </c>
      <c r="AL17" s="16" t="s" vm="2">
        <v>91</v>
      </c>
      <c r="AM17" s="20"/>
      <c r="AN17" s="24"/>
      <c r="AO17" s="24"/>
      <c r="AQ17" s="34" t="s">
        <v>33</v>
      </c>
      <c r="AR17" s="16" t="s" vm="2">
        <v>91</v>
      </c>
      <c r="AS17" s="31"/>
      <c r="AT17" s="29"/>
      <c r="AU17" s="26"/>
      <c r="AV17" s="25"/>
      <c r="AW17" s="34" t="s">
        <v>33</v>
      </c>
      <c r="AX17" s="16" t="s" vm="2">
        <v>91</v>
      </c>
      <c r="AY17" s="16"/>
      <c r="AZ17" s="16"/>
      <c r="BA17" s="29"/>
      <c r="BB17" s="29"/>
      <c r="BC17" s="34" t="s">
        <v>33</v>
      </c>
      <c r="BD17" s="16" t="s" vm="2">
        <v>91</v>
      </c>
      <c r="BE17" s="20"/>
      <c r="BF17" s="24"/>
      <c r="BI17" s="34" t="s">
        <v>33</v>
      </c>
      <c r="BJ17" s="16" t="s" vm="2">
        <v>91</v>
      </c>
      <c r="BK17" s="20"/>
      <c r="BL17" s="24"/>
      <c r="BM17" s="24"/>
      <c r="BN17" s="24"/>
      <c r="BO17" s="34" t="s">
        <v>33</v>
      </c>
      <c r="BP17" s="16" t="s" vm="2">
        <v>91</v>
      </c>
      <c r="BQ17" s="20"/>
      <c r="BR17" s="24"/>
      <c r="BU17" s="34" t="s">
        <v>33</v>
      </c>
      <c r="BV17" s="16" t="s" vm="2">
        <v>91</v>
      </c>
      <c r="BW17" s="20"/>
      <c r="BX17" s="24"/>
      <c r="BY17" s="23"/>
      <c r="BZ17" s="23"/>
      <c r="CA17" s="34" t="s">
        <v>33</v>
      </c>
      <c r="CB17" s="16" t="s" vm="2">
        <v>91</v>
      </c>
      <c r="CC17" s="20"/>
      <c r="CD17" s="24"/>
      <c r="CE17" s="24"/>
      <c r="CF17" s="24"/>
      <c r="CG17" s="34" t="s">
        <v>33</v>
      </c>
      <c r="CH17" s="16" t="s" vm="2">
        <v>91</v>
      </c>
      <c r="CI17" s="20"/>
      <c r="CJ17" s="24"/>
      <c r="CM17" s="34" t="s">
        <v>33</v>
      </c>
      <c r="CN17" s="16" t="s" vm="2">
        <v>91</v>
      </c>
      <c r="CO17" s="20"/>
      <c r="CP17" s="24"/>
      <c r="CS17" s="34" t="s">
        <v>33</v>
      </c>
      <c r="CT17" s="16" t="s" vm="2">
        <v>91</v>
      </c>
      <c r="CU17" s="20"/>
      <c r="CV17" s="24"/>
      <c r="CY17" s="34" t="s">
        <v>33</v>
      </c>
      <c r="CZ17" s="16" t="s" vm="2">
        <v>91</v>
      </c>
      <c r="DA17" s="20"/>
      <c r="DB17" s="24"/>
    </row>
    <row r="18" spans="1:116">
      <c r="A18" s="34" t="s">
        <v>34</v>
      </c>
      <c r="B18" s="16" t="s" vm="1">
        <v>41</v>
      </c>
      <c r="F18" s="24"/>
      <c r="G18" s="34" t="s">
        <v>34</v>
      </c>
      <c r="H18" s="16" t="s" vm="1">
        <v>41</v>
      </c>
      <c r="L18" s="24"/>
      <c r="M18" s="34" t="s">
        <v>34</v>
      </c>
      <c r="N18" s="16" t="s" vm="1">
        <v>41</v>
      </c>
      <c r="R18" s="20"/>
      <c r="S18" s="34" t="s">
        <v>34</v>
      </c>
      <c r="T18" s="16" t="s" vm="1">
        <v>41</v>
      </c>
      <c r="X18" s="26"/>
      <c r="Y18" s="34" t="s">
        <v>34</v>
      </c>
      <c r="Z18" s="16" t="s" vm="1">
        <v>41</v>
      </c>
      <c r="AD18" s="29"/>
      <c r="AE18" s="34" t="s">
        <v>34</v>
      </c>
      <c r="AF18" s="16" t="s" vm="1">
        <v>41</v>
      </c>
      <c r="AJ18" s="23"/>
      <c r="AK18" s="34" t="s">
        <v>34</v>
      </c>
      <c r="AL18" s="16" t="s" vm="1">
        <v>41</v>
      </c>
      <c r="AM18" s="20"/>
      <c r="AN18" s="24"/>
      <c r="AO18" s="24"/>
      <c r="AQ18" s="34" t="s">
        <v>34</v>
      </c>
      <c r="AR18" s="16" t="s" vm="1">
        <v>41</v>
      </c>
      <c r="AS18" s="31"/>
      <c r="AT18" s="29"/>
      <c r="AU18" s="26"/>
      <c r="AV18" s="25"/>
      <c r="AW18" s="34" t="s">
        <v>34</v>
      </c>
      <c r="AX18" s="16" t="s" vm="1">
        <v>41</v>
      </c>
      <c r="AY18" s="16"/>
      <c r="AZ18" s="16"/>
      <c r="BA18" s="29"/>
      <c r="BB18" s="29"/>
      <c r="BC18" s="34" t="s">
        <v>34</v>
      </c>
      <c r="BD18" s="16" t="s" vm="1">
        <v>41</v>
      </c>
      <c r="BE18" s="20"/>
      <c r="BF18" s="24"/>
      <c r="BI18" s="34" t="s">
        <v>34</v>
      </c>
      <c r="BJ18" s="16" t="s" vm="1">
        <v>41</v>
      </c>
      <c r="BK18" s="20"/>
      <c r="BL18" s="24"/>
      <c r="BM18" s="24"/>
      <c r="BN18" s="24"/>
      <c r="BO18" s="34" t="s">
        <v>34</v>
      </c>
      <c r="BP18" s="16" t="s" vm="1">
        <v>41</v>
      </c>
      <c r="BQ18" s="20"/>
      <c r="BR18" s="24"/>
      <c r="BU18" s="34" t="s">
        <v>34</v>
      </c>
      <c r="BV18" s="16" t="s" vm="1">
        <v>41</v>
      </c>
      <c r="BW18" s="20"/>
      <c r="BX18" s="24"/>
      <c r="BY18" s="23"/>
      <c r="BZ18" s="23"/>
      <c r="CA18" s="34" t="s">
        <v>34</v>
      </c>
      <c r="CB18" s="16" t="s" vm="1">
        <v>41</v>
      </c>
      <c r="CC18" s="20"/>
      <c r="CD18" s="24"/>
      <c r="CE18" s="24"/>
      <c r="CF18" s="24"/>
      <c r="CG18" s="34" t="s">
        <v>34</v>
      </c>
      <c r="CH18" s="16" t="s" vm="1">
        <v>41</v>
      </c>
      <c r="CI18" s="20"/>
      <c r="CJ18" s="24"/>
      <c r="CM18" s="34" t="s">
        <v>34</v>
      </c>
      <c r="CN18" s="16" t="s" vm="1">
        <v>41</v>
      </c>
      <c r="CO18" s="20"/>
      <c r="CP18" s="24"/>
      <c r="CS18" s="34" t="s">
        <v>34</v>
      </c>
      <c r="CT18" s="16" t="s" vm="1">
        <v>41</v>
      </c>
      <c r="CU18" s="20"/>
      <c r="CV18" s="24"/>
      <c r="CY18" s="34" t="s">
        <v>34</v>
      </c>
      <c r="CZ18" s="16" t="s" vm="1">
        <v>41</v>
      </c>
      <c r="DA18" s="20"/>
      <c r="DB18" s="24"/>
    </row>
    <row r="19" spans="1:116">
      <c r="F19" s="24"/>
      <c r="L19" s="24"/>
      <c r="R19" s="20"/>
      <c r="X19" s="26"/>
      <c r="AD19" s="29"/>
      <c r="AF19"/>
      <c r="AJ19" s="23"/>
      <c r="AK19" s="29"/>
      <c r="AL19" s="26"/>
      <c r="AM19" s="20"/>
      <c r="AN19" s="24"/>
      <c r="AO19" s="24"/>
      <c r="AQ19" s="9"/>
      <c r="AS19" s="31"/>
      <c r="AT19" s="29"/>
      <c r="AU19" s="26"/>
      <c r="AV19" s="25"/>
      <c r="AW19" s="16"/>
      <c r="AX19" s="16"/>
      <c r="AY19" s="16"/>
      <c r="AZ19" s="16"/>
      <c r="BA19" s="29"/>
      <c r="BB19" s="29"/>
      <c r="BC19" s="29"/>
      <c r="BD19" s="26"/>
      <c r="BE19" s="20"/>
      <c r="BF19" s="24"/>
      <c r="BI19" s="29"/>
      <c r="BJ19" s="26"/>
      <c r="BK19" s="20"/>
      <c r="BL19" s="24"/>
      <c r="BM19" s="24"/>
      <c r="BN19" s="24"/>
      <c r="BO19" s="29"/>
      <c r="BP19" s="26"/>
      <c r="BQ19" s="20"/>
      <c r="BR19" s="24"/>
      <c r="BU19" s="29"/>
      <c r="BV19" s="26"/>
      <c r="BW19" s="20"/>
      <c r="BX19" s="24"/>
      <c r="BY19" s="23"/>
      <c r="BZ19" s="23"/>
      <c r="CA19" s="29"/>
      <c r="CB19" s="26"/>
      <c r="CC19" s="20"/>
      <c r="CD19" s="24"/>
      <c r="CE19" s="24"/>
      <c r="CF19" s="24"/>
      <c r="CG19" s="29"/>
      <c r="CH19" s="26"/>
      <c r="CI19" s="20"/>
      <c r="CJ19" s="24"/>
      <c r="CM19" s="29"/>
      <c r="CN19" s="26"/>
      <c r="CO19" s="20"/>
      <c r="CP19" s="24"/>
      <c r="CS19" s="29"/>
      <c r="CT19" s="26"/>
      <c r="CU19" s="20"/>
      <c r="CV19" s="24"/>
      <c r="CY19" s="29"/>
      <c r="CZ19" s="26"/>
      <c r="DA19" s="20"/>
      <c r="DB19" s="24"/>
    </row>
    <row r="20" spans="1:116">
      <c r="A20" s="34" t="s">
        <v>9</v>
      </c>
      <c r="B20" s="44" t="s">
        <v>54</v>
      </c>
      <c r="C20" s="44" t="s">
        <v>55</v>
      </c>
      <c r="D20" s="44" t="s">
        <v>56</v>
      </c>
      <c r="E20" s="16" t="s">
        <v>56</v>
      </c>
      <c r="F20" s="24"/>
      <c r="G20" s="34" t="s">
        <v>11</v>
      </c>
      <c r="H20" s="44" t="s">
        <v>54</v>
      </c>
      <c r="I20" s="44" t="s">
        <v>55</v>
      </c>
      <c r="J20" s="44" t="s">
        <v>56</v>
      </c>
      <c r="K20" s="16" t="s">
        <v>56</v>
      </c>
      <c r="L20" s="24"/>
      <c r="M20" s="34" t="s">
        <v>13</v>
      </c>
      <c r="N20" s="44" t="s">
        <v>54</v>
      </c>
      <c r="O20" s="44" t="s">
        <v>55</v>
      </c>
      <c r="P20" s="44" t="s">
        <v>56</v>
      </c>
      <c r="Q20" s="16" t="s">
        <v>56</v>
      </c>
      <c r="R20" s="20"/>
      <c r="S20" s="34" t="s">
        <v>17</v>
      </c>
      <c r="T20" s="44" t="s">
        <v>54</v>
      </c>
      <c r="U20" s="44" t="s">
        <v>55</v>
      </c>
      <c r="V20" s="44" t="s">
        <v>56</v>
      </c>
      <c r="W20" s="16" t="s">
        <v>56</v>
      </c>
      <c r="X20" s="26"/>
      <c r="Y20" s="34" t="s">
        <v>22</v>
      </c>
      <c r="Z20" s="44" t="s">
        <v>54</v>
      </c>
      <c r="AA20" s="44" t="s">
        <v>55</v>
      </c>
      <c r="AB20" s="44" t="s">
        <v>56</v>
      </c>
      <c r="AC20" s="16" t="s">
        <v>56</v>
      </c>
      <c r="AE20" s="44" t="s">
        <v>54</v>
      </c>
      <c r="AF20" s="44" t="s">
        <v>55</v>
      </c>
      <c r="AG20" s="44" t="s">
        <v>56</v>
      </c>
      <c r="AH20" s="16" t="s">
        <v>56</v>
      </c>
      <c r="AJ20" s="23"/>
      <c r="AK20" s="44" t="s">
        <v>54</v>
      </c>
      <c r="AL20" s="44" t="s">
        <v>55</v>
      </c>
      <c r="AM20" s="44" t="s">
        <v>56</v>
      </c>
      <c r="AN20" s="16" t="s">
        <v>56</v>
      </c>
      <c r="AQ20" s="34" t="s">
        <v>42</v>
      </c>
      <c r="AR20" s="16" t="s">
        <v>54</v>
      </c>
      <c r="AS20" s="16" t="s">
        <v>55</v>
      </c>
      <c r="AT20" s="16" t="s">
        <v>46</v>
      </c>
      <c r="AU20" s="16" t="s">
        <v>56</v>
      </c>
      <c r="AV20"/>
      <c r="AW20" s="34" t="s">
        <v>123</v>
      </c>
      <c r="AX20" s="44" t="s">
        <v>54</v>
      </c>
      <c r="AY20" s="44" t="s">
        <v>55</v>
      </c>
      <c r="AZ20" s="44" t="s">
        <v>56</v>
      </c>
      <c r="BA20" s="16" t="s">
        <v>56</v>
      </c>
      <c r="BC20" s="34" t="s">
        <v>124</v>
      </c>
      <c r="BD20" s="44" t="s">
        <v>54</v>
      </c>
      <c r="BE20" s="44" t="s">
        <v>55</v>
      </c>
      <c r="BF20" s="44" t="s">
        <v>56</v>
      </c>
      <c r="BG20" s="16" t="s">
        <v>56</v>
      </c>
      <c r="BI20" s="34" t="s">
        <v>125</v>
      </c>
      <c r="BJ20" s="44" t="s">
        <v>54</v>
      </c>
      <c r="BK20" s="44" t="s">
        <v>55</v>
      </c>
      <c r="BL20" s="44" t="s">
        <v>56</v>
      </c>
      <c r="BM20" s="16" t="s">
        <v>56</v>
      </c>
      <c r="BO20" s="34" t="s">
        <v>126</v>
      </c>
      <c r="BP20" s="44" t="s">
        <v>54</v>
      </c>
      <c r="BQ20" s="44" t="s">
        <v>55</v>
      </c>
      <c r="BR20" s="44" t="s">
        <v>56</v>
      </c>
      <c r="BS20" s="16" t="s">
        <v>56</v>
      </c>
      <c r="BU20" s="34" t="s">
        <v>127</v>
      </c>
      <c r="BV20" s="44" t="s">
        <v>54</v>
      </c>
      <c r="BW20" s="44" t="s">
        <v>55</v>
      </c>
      <c r="BX20" s="44" t="s">
        <v>56</v>
      </c>
      <c r="BY20" s="16" t="s">
        <v>56</v>
      </c>
      <c r="CA20" s="34" t="s">
        <v>128</v>
      </c>
      <c r="CB20" s="44" t="s">
        <v>54</v>
      </c>
      <c r="CC20" s="44" t="s">
        <v>55</v>
      </c>
      <c r="CD20" s="44" t="s">
        <v>56</v>
      </c>
      <c r="CE20" s="16" t="s">
        <v>56</v>
      </c>
      <c r="CG20" s="34" t="s">
        <v>129</v>
      </c>
      <c r="CH20" s="44" t="s">
        <v>54</v>
      </c>
      <c r="CI20" s="44" t="s">
        <v>55</v>
      </c>
      <c r="CJ20" s="44" t="s">
        <v>56</v>
      </c>
      <c r="CK20" s="16" t="s">
        <v>56</v>
      </c>
      <c r="CM20" s="34" t="s">
        <v>132</v>
      </c>
      <c r="CN20" s="44" t="s">
        <v>54</v>
      </c>
      <c r="CO20" s="44" t="s">
        <v>55</v>
      </c>
      <c r="CP20" s="44" t="s">
        <v>56</v>
      </c>
      <c r="CQ20" s="16" t="s">
        <v>56</v>
      </c>
      <c r="CS20" s="34" t="s">
        <v>133</v>
      </c>
      <c r="CT20" s="44" t="s">
        <v>54</v>
      </c>
      <c r="CU20" s="44" t="s">
        <v>55</v>
      </c>
      <c r="CV20" s="44" t="s">
        <v>56</v>
      </c>
      <c r="CW20" s="16" t="s">
        <v>56</v>
      </c>
      <c r="CY20" s="34" t="s">
        <v>134</v>
      </c>
      <c r="CZ20" s="44" t="s">
        <v>54</v>
      </c>
      <c r="DA20" s="44" t="s">
        <v>55</v>
      </c>
      <c r="DB20" s="44" t="s">
        <v>56</v>
      </c>
      <c r="DC20" s="16" t="s">
        <v>56</v>
      </c>
      <c r="DD20" s="16"/>
      <c r="DE20" s="16"/>
      <c r="DF20" s="20"/>
      <c r="DG20" s="24"/>
      <c r="DI20" s="16"/>
      <c r="DJ20" s="16"/>
      <c r="DK20" s="20"/>
      <c r="DL20" s="24"/>
    </row>
    <row r="21" spans="1:116">
      <c r="A21" s="38" t="s">
        <v>86</v>
      </c>
      <c r="B21" s="39">
        <v>79549064.570001245</v>
      </c>
      <c r="C21" s="43">
        <v>0.11509449837722469</v>
      </c>
      <c r="D21" s="48">
        <v>347945</v>
      </c>
      <c r="E21" s="43">
        <v>0.23696067601674242</v>
      </c>
      <c r="F21" s="24"/>
      <c r="G21" s="38" t="s">
        <v>86</v>
      </c>
      <c r="H21" s="39">
        <v>523756356.8800059</v>
      </c>
      <c r="I21" s="43">
        <v>0.75778986833893835</v>
      </c>
      <c r="J21" s="48">
        <v>1111225</v>
      </c>
      <c r="K21" s="43">
        <v>0.75677658022591099</v>
      </c>
      <c r="L21" s="24"/>
      <c r="M21" s="38" t="s">
        <v>86</v>
      </c>
      <c r="N21" s="39">
        <v>108529551.86000106</v>
      </c>
      <c r="O21" s="43">
        <v>0.15702452816952867</v>
      </c>
      <c r="P21" s="48">
        <v>527505</v>
      </c>
      <c r="Q21" s="43">
        <v>0.35924626421478023</v>
      </c>
      <c r="R21" s="20"/>
      <c r="S21" s="38" t="s">
        <v>72</v>
      </c>
      <c r="T21" s="39">
        <v>323416669.40000528</v>
      </c>
      <c r="U21" s="43">
        <v>0.46793107540152862</v>
      </c>
      <c r="V21" s="48">
        <v>686796</v>
      </c>
      <c r="W21" s="43">
        <v>0.46772807324604354</v>
      </c>
      <c r="X21" s="26"/>
      <c r="Y21" s="38" t="s">
        <v>57</v>
      </c>
      <c r="Z21" s="39">
        <v>229206356.24000069</v>
      </c>
      <c r="AA21" s="43">
        <v>0.33162414591437767</v>
      </c>
      <c r="AB21" s="48">
        <v>1274427</v>
      </c>
      <c r="AC21" s="43">
        <v>0.86792189413266174</v>
      </c>
      <c r="AE21" s="39">
        <v>691163050.29001021</v>
      </c>
      <c r="AF21" s="43">
        <v>1</v>
      </c>
      <c r="AG21" s="48">
        <v>1468366</v>
      </c>
      <c r="AH21" s="43">
        <v>1</v>
      </c>
      <c r="AJ21" s="23"/>
      <c r="AK21" s="39">
        <v>691163050.29001021</v>
      </c>
      <c r="AL21" s="43">
        <v>1</v>
      </c>
      <c r="AM21" s="48">
        <v>1468366</v>
      </c>
      <c r="AN21" s="43">
        <v>1</v>
      </c>
      <c r="AQ21" s="38"/>
      <c r="AR21" s="46">
        <v>691163050.29001021</v>
      </c>
      <c r="AS21" s="43">
        <v>1</v>
      </c>
      <c r="AT21" s="46">
        <v>1468366</v>
      </c>
      <c r="AU21" s="43">
        <v>1</v>
      </c>
      <c r="AV21"/>
      <c r="AW21" s="38" t="s">
        <v>66</v>
      </c>
      <c r="AX21" s="39">
        <v>691163050.29001021</v>
      </c>
      <c r="AY21" s="43">
        <v>1</v>
      </c>
      <c r="AZ21" s="48">
        <v>1468366</v>
      </c>
      <c r="BA21" s="43">
        <v>1</v>
      </c>
      <c r="BB21" s="43"/>
      <c r="BC21" s="38" t="s">
        <v>66</v>
      </c>
      <c r="BD21" s="39">
        <v>691163050.29001021</v>
      </c>
      <c r="BE21" s="43">
        <v>1</v>
      </c>
      <c r="BF21" s="48">
        <v>1468366</v>
      </c>
      <c r="BG21" s="43">
        <v>1</v>
      </c>
      <c r="BH21" s="43"/>
      <c r="BI21" s="38" t="s">
        <v>66</v>
      </c>
      <c r="BJ21" s="39">
        <v>691163050.29001021</v>
      </c>
      <c r="BK21" s="43">
        <v>1</v>
      </c>
      <c r="BL21" s="48">
        <v>1468366</v>
      </c>
      <c r="BM21" s="43">
        <v>1</v>
      </c>
      <c r="BN21" s="43"/>
      <c r="BO21" s="38"/>
      <c r="BP21" s="39">
        <v>691163050.29001009</v>
      </c>
      <c r="BQ21" s="43">
        <v>0.99999999999999978</v>
      </c>
      <c r="BR21" s="48">
        <v>1468366</v>
      </c>
      <c r="BS21" s="43">
        <v>1</v>
      </c>
      <c r="BT21" s="43"/>
      <c r="BU21" s="38"/>
      <c r="BV21" s="39">
        <v>691163050.29001009</v>
      </c>
      <c r="BW21" s="43">
        <v>0.99999999999999978</v>
      </c>
      <c r="BX21" s="48">
        <v>1468366</v>
      </c>
      <c r="BY21" s="43">
        <v>1</v>
      </c>
      <c r="BZ21" s="43"/>
      <c r="CA21" s="38"/>
      <c r="CB21" s="39">
        <v>691163050.29001009</v>
      </c>
      <c r="CC21" s="43">
        <v>0.99999999999999978</v>
      </c>
      <c r="CD21" s="48">
        <v>1468366</v>
      </c>
      <c r="CE21" s="43">
        <v>1</v>
      </c>
      <c r="CF21" s="43"/>
      <c r="CG21" s="38"/>
      <c r="CH21" s="39">
        <v>691163050.29001021</v>
      </c>
      <c r="CI21" s="43">
        <v>1</v>
      </c>
      <c r="CJ21" s="48">
        <v>1468366</v>
      </c>
      <c r="CK21" s="43">
        <v>1</v>
      </c>
      <c r="CL21" s="43"/>
      <c r="CM21" s="38" t="s">
        <v>130</v>
      </c>
      <c r="CN21" s="39">
        <v>576414245.24000692</v>
      </c>
      <c r="CO21" s="43">
        <v>0.83397722867005841</v>
      </c>
      <c r="CP21" s="48">
        <v>1241821</v>
      </c>
      <c r="CQ21" s="43">
        <v>0.84571625875292677</v>
      </c>
      <c r="CR21" s="43"/>
      <c r="CS21" s="38" t="s">
        <v>66</v>
      </c>
      <c r="CT21" s="39">
        <v>691163050.29001021</v>
      </c>
      <c r="CU21" s="43">
        <v>1</v>
      </c>
      <c r="CV21" s="48">
        <v>1468366</v>
      </c>
      <c r="CW21" s="43">
        <v>1</v>
      </c>
      <c r="CX21" s="43"/>
      <c r="CY21" s="38"/>
      <c r="CZ21" s="39">
        <v>691163050.29001021</v>
      </c>
      <c r="DA21" s="43">
        <v>1</v>
      </c>
      <c r="DB21" s="48">
        <v>1468366</v>
      </c>
      <c r="DC21" s="43">
        <v>1</v>
      </c>
      <c r="DD21" s="16"/>
      <c r="DE21" s="16"/>
      <c r="DF21" s="20"/>
      <c r="DG21" s="24"/>
      <c r="DI21" s="16"/>
      <c r="DJ21" s="16"/>
      <c r="DK21" s="20"/>
      <c r="DL21" s="24"/>
    </row>
    <row r="22" spans="1:116">
      <c r="A22" s="38" t="s">
        <v>92</v>
      </c>
      <c r="B22" s="39">
        <v>67329079.749999821</v>
      </c>
      <c r="C22" s="43">
        <v>9.7414177048018871E-2</v>
      </c>
      <c r="D22" s="48">
        <v>227880</v>
      </c>
      <c r="E22" s="43">
        <v>0.15519291511789296</v>
      </c>
      <c r="F22" s="24"/>
      <c r="G22" s="38" t="s">
        <v>87</v>
      </c>
      <c r="H22" s="39">
        <v>118884150.23000282</v>
      </c>
      <c r="I22" s="43">
        <v>0.17200594010359688</v>
      </c>
      <c r="J22" s="48">
        <v>272841</v>
      </c>
      <c r="K22" s="43">
        <v>0.18581266523468945</v>
      </c>
      <c r="L22" s="24"/>
      <c r="M22" s="38" t="s">
        <v>92</v>
      </c>
      <c r="N22" s="39">
        <v>98332043.960000426</v>
      </c>
      <c r="O22" s="43">
        <v>0.14227040047748582</v>
      </c>
      <c r="P22" s="48">
        <v>251191</v>
      </c>
      <c r="Q22" s="43">
        <v>0.17106838485772621</v>
      </c>
      <c r="R22" s="20"/>
      <c r="S22" s="38" t="s">
        <v>105</v>
      </c>
      <c r="T22" s="39">
        <v>56957.479999999967</v>
      </c>
      <c r="U22" s="43">
        <v>8.240816689506297E-5</v>
      </c>
      <c r="V22" s="48">
        <v>1192</v>
      </c>
      <c r="W22" s="43">
        <v>8.1178670712887661E-4</v>
      </c>
      <c r="X22" s="26"/>
      <c r="Y22" s="38" t="s">
        <v>58</v>
      </c>
      <c r="Z22" s="39">
        <v>142813869.17000014</v>
      </c>
      <c r="AA22" s="43">
        <v>0.20662833337238704</v>
      </c>
      <c r="AB22" s="48">
        <v>99778</v>
      </c>
      <c r="AC22" s="43">
        <v>6.7951723207974032E-2</v>
      </c>
      <c r="AF22"/>
      <c r="AJ22" s="23"/>
      <c r="AM22"/>
      <c r="AQ22" s="38" t="s">
        <v>66</v>
      </c>
      <c r="AR22" s="46">
        <v>691163050.29001021</v>
      </c>
      <c r="AS22" s="43">
        <v>1</v>
      </c>
      <c r="AT22" s="46">
        <v>1468366</v>
      </c>
      <c r="AU22" s="43">
        <v>1</v>
      </c>
      <c r="AV22"/>
      <c r="AZ22" s="23"/>
      <c r="BA22" s="29"/>
      <c r="BB22" s="29"/>
      <c r="BC22" s="26"/>
      <c r="BD22" s="20"/>
      <c r="BE22" s="24"/>
      <c r="BF22" s="24"/>
      <c r="BI22" s="23"/>
      <c r="BJ22" s="29"/>
      <c r="BK22" s="26"/>
      <c r="BL22" s="20"/>
      <c r="BM22" s="24"/>
      <c r="BN22" s="24"/>
      <c r="BO22" s="38" t="s">
        <v>66</v>
      </c>
      <c r="BP22" s="39">
        <v>691163050.29001021</v>
      </c>
      <c r="BQ22" s="43">
        <v>1</v>
      </c>
      <c r="BR22" s="48">
        <v>1468366</v>
      </c>
      <c r="BS22" s="43">
        <v>1</v>
      </c>
      <c r="BT22" s="43"/>
      <c r="BU22" s="38" t="s">
        <v>66</v>
      </c>
      <c r="BV22" s="39">
        <v>691163050.29001021</v>
      </c>
      <c r="BW22" s="43">
        <v>1</v>
      </c>
      <c r="BX22" s="48">
        <v>1468366</v>
      </c>
      <c r="BY22" s="43">
        <v>1</v>
      </c>
      <c r="BZ22" s="43"/>
      <c r="CA22" s="38" t="s">
        <v>66</v>
      </c>
      <c r="CB22" s="39">
        <v>691163050.29001021</v>
      </c>
      <c r="CC22" s="43">
        <v>1</v>
      </c>
      <c r="CD22" s="48">
        <v>1468366</v>
      </c>
      <c r="CE22" s="43">
        <v>1</v>
      </c>
      <c r="CF22" s="43"/>
      <c r="CG22" s="38" t="s">
        <v>66</v>
      </c>
      <c r="CH22" s="39">
        <v>691163050.29001021</v>
      </c>
      <c r="CI22" s="43">
        <v>1</v>
      </c>
      <c r="CJ22" s="48">
        <v>1468366</v>
      </c>
      <c r="CK22" s="43">
        <v>1</v>
      </c>
      <c r="CL22" s="43"/>
      <c r="CM22" s="38" t="s">
        <v>131</v>
      </c>
      <c r="CN22" s="39">
        <v>114748805.04999986</v>
      </c>
      <c r="CO22" s="43">
        <v>0.16602277132993665</v>
      </c>
      <c r="CP22" s="48">
        <v>226545</v>
      </c>
      <c r="CQ22" s="43">
        <v>0.15428374124707328</v>
      </c>
      <c r="CR22" s="43"/>
      <c r="CY22" s="38" t="s">
        <v>66</v>
      </c>
      <c r="CZ22" s="39">
        <v>691163050.29001021</v>
      </c>
      <c r="DA22" s="43">
        <v>1</v>
      </c>
      <c r="DB22" s="48">
        <v>1468366</v>
      </c>
      <c r="DC22" s="43">
        <v>1</v>
      </c>
      <c r="DD22" s="29"/>
      <c r="DE22" s="26"/>
      <c r="DF22" s="20"/>
      <c r="DG22" s="24"/>
      <c r="DI22" s="29"/>
      <c r="DJ22" s="26"/>
      <c r="DK22" s="20"/>
      <c r="DL22" s="24"/>
    </row>
    <row r="23" spans="1:116">
      <c r="A23" s="38" t="s">
        <v>93</v>
      </c>
      <c r="B23" s="39">
        <v>288863038.22000086</v>
      </c>
      <c r="C23" s="43">
        <v>0.41793761703377325</v>
      </c>
      <c r="D23" s="48">
        <v>500955</v>
      </c>
      <c r="E23" s="43">
        <v>0.34116494116589463</v>
      </c>
      <c r="F23" s="24"/>
      <c r="G23" s="38" t="s">
        <v>88</v>
      </c>
      <c r="H23" s="39">
        <v>36001788.260000385</v>
      </c>
      <c r="I23" s="43">
        <v>5.2088705038404653E-2</v>
      </c>
      <c r="J23" s="48">
        <v>56060</v>
      </c>
      <c r="K23" s="43">
        <v>3.8178492283259077E-2</v>
      </c>
      <c r="L23" s="24"/>
      <c r="M23" s="38" t="s">
        <v>87</v>
      </c>
      <c r="N23" s="39">
        <v>93964173.250000104</v>
      </c>
      <c r="O23" s="43">
        <v>0.13595080525582637</v>
      </c>
      <c r="P23" s="48">
        <v>169240</v>
      </c>
      <c r="Q23" s="43">
        <v>0.11525736771349922</v>
      </c>
      <c r="R23" s="20"/>
      <c r="S23" s="38" t="s">
        <v>106</v>
      </c>
      <c r="T23" s="39">
        <v>4370800.76</v>
      </c>
      <c r="U23" s="43">
        <v>6.3238345252484536E-3</v>
      </c>
      <c r="V23" s="48">
        <v>9911</v>
      </c>
      <c r="W23" s="43">
        <v>6.749679575800584E-3</v>
      </c>
      <c r="X23" s="26"/>
      <c r="Y23" s="38" t="s">
        <v>59</v>
      </c>
      <c r="Z23" s="39">
        <v>115178184.15999998</v>
      </c>
      <c r="AA23" s="43">
        <v>0.16664401274297216</v>
      </c>
      <c r="AB23" s="48">
        <v>47077</v>
      </c>
      <c r="AC23" s="43">
        <v>3.2060807727773595E-2</v>
      </c>
      <c r="AF23"/>
      <c r="AJ23" s="23"/>
      <c r="AM23"/>
      <c r="AV23"/>
      <c r="BI23" s="23"/>
      <c r="BJ23" s="29"/>
      <c r="BK23" s="26"/>
      <c r="BL23" s="20"/>
      <c r="BM23" s="24"/>
      <c r="BN23" s="24"/>
      <c r="BO23" s="24"/>
      <c r="BY23" s="23"/>
      <c r="BZ23" s="23"/>
      <c r="CA23" s="29"/>
      <c r="CB23" s="26"/>
      <c r="CC23" s="20"/>
      <c r="CD23" s="24"/>
      <c r="CE23" s="24"/>
      <c r="CF23" s="24"/>
      <c r="CM23" s="38" t="s">
        <v>66</v>
      </c>
      <c r="CN23" s="39">
        <v>691163050.29001021</v>
      </c>
      <c r="CO23" s="43">
        <v>1</v>
      </c>
      <c r="CP23" s="48">
        <v>1468366</v>
      </c>
      <c r="CQ23" s="43">
        <v>1</v>
      </c>
      <c r="CR23" s="43"/>
      <c r="DD23" s="44"/>
      <c r="DE23" s="44"/>
      <c r="DF23" s="44"/>
      <c r="DG23" s="16"/>
      <c r="DI23" s="44"/>
      <c r="DJ23" s="44"/>
      <c r="DK23" s="44"/>
      <c r="DL23" s="16"/>
    </row>
    <row r="24" spans="1:116">
      <c r="A24" s="38" t="s">
        <v>95</v>
      </c>
      <c r="B24" s="39">
        <v>255421867.74999997</v>
      </c>
      <c r="C24" s="43">
        <v>0.36955370754097117</v>
      </c>
      <c r="D24" s="48">
        <v>391586</v>
      </c>
      <c r="E24" s="43">
        <v>0.26668146769947004</v>
      </c>
      <c r="F24" s="24"/>
      <c r="G24" s="38" t="s">
        <v>89</v>
      </c>
      <c r="H24" s="39">
        <v>12416661.680000005</v>
      </c>
      <c r="I24" s="43">
        <v>1.7964880609271584E-2</v>
      </c>
      <c r="J24" s="48">
        <v>28024</v>
      </c>
      <c r="K24" s="43">
        <v>1.9085159966929225E-2</v>
      </c>
      <c r="L24" s="24"/>
      <c r="M24" s="38" t="s">
        <v>93</v>
      </c>
      <c r="N24" s="39">
        <v>169811800.33999914</v>
      </c>
      <c r="O24" s="43">
        <v>0.24568992840220052</v>
      </c>
      <c r="P24" s="48">
        <v>204250</v>
      </c>
      <c r="Q24" s="43">
        <v>0.13910019708982638</v>
      </c>
      <c r="R24" s="20"/>
      <c r="S24" s="38" t="s">
        <v>73</v>
      </c>
      <c r="T24" s="39">
        <v>3802018.9700000007</v>
      </c>
      <c r="U24" s="43">
        <v>5.5009002121925981E-3</v>
      </c>
      <c r="V24" s="48">
        <v>6322</v>
      </c>
      <c r="W24" s="43">
        <v>4.3054660758966093E-3</v>
      </c>
      <c r="X24" s="26"/>
      <c r="Y24" s="38" t="s">
        <v>60</v>
      </c>
      <c r="Z24" s="39">
        <v>77929534.26000002</v>
      </c>
      <c r="AA24" s="43">
        <v>0.11275130264458001</v>
      </c>
      <c r="AB24" s="48">
        <v>22559</v>
      </c>
      <c r="AC24" s="43">
        <v>1.5363335844060678E-2</v>
      </c>
      <c r="AF24"/>
      <c r="AJ24" s="23"/>
      <c r="AM24"/>
      <c r="AV24"/>
      <c r="BI24" s="23"/>
      <c r="BJ24" s="29"/>
      <c r="BK24" s="26"/>
      <c r="BL24" s="20"/>
      <c r="BM24" s="24"/>
      <c r="BN24" s="24"/>
      <c r="BO24" s="24"/>
      <c r="BY24" s="23"/>
      <c r="BZ24" s="23"/>
      <c r="CA24" s="29"/>
      <c r="CB24" s="26"/>
      <c r="CC24" s="20"/>
      <c r="CD24" s="24"/>
      <c r="CE24" s="24"/>
      <c r="CF24" s="24"/>
      <c r="DD24" s="39"/>
      <c r="DE24" s="43"/>
      <c r="DF24" s="48"/>
      <c r="DG24" s="43"/>
      <c r="DI24" s="39"/>
      <c r="DJ24" s="43"/>
      <c r="DK24" s="48"/>
      <c r="DL24" s="43"/>
    </row>
    <row r="25" spans="1:116">
      <c r="A25" s="38" t="s">
        <v>66</v>
      </c>
      <c r="B25" s="39">
        <v>691163050.29001021</v>
      </c>
      <c r="C25" s="43">
        <v>1</v>
      </c>
      <c r="D25" s="48">
        <v>1468366</v>
      </c>
      <c r="E25" s="43">
        <v>1</v>
      </c>
      <c r="F25" s="24"/>
      <c r="G25" s="38" t="s">
        <v>90</v>
      </c>
      <c r="H25" s="39">
        <v>104093.24000000003</v>
      </c>
      <c r="I25" s="43">
        <v>1.5060590978687705E-4</v>
      </c>
      <c r="J25" s="48">
        <v>216</v>
      </c>
      <c r="K25" s="43">
        <v>1.4710228921127293E-4</v>
      </c>
      <c r="L25" s="24"/>
      <c r="M25" s="38" t="s">
        <v>88</v>
      </c>
      <c r="N25" s="39">
        <v>24899069.100000322</v>
      </c>
      <c r="O25" s="43">
        <v>3.6024884561685899E-2</v>
      </c>
      <c r="P25" s="48">
        <v>48052</v>
      </c>
      <c r="Q25" s="43">
        <v>3.2724811116574479E-2</v>
      </c>
      <c r="R25" s="20"/>
      <c r="S25" s="38" t="s">
        <v>107</v>
      </c>
      <c r="T25" s="39">
        <v>4158596.8300000033</v>
      </c>
      <c r="U25" s="43">
        <v>6.0168101119628245E-3</v>
      </c>
      <c r="V25" s="48">
        <v>23014</v>
      </c>
      <c r="W25" s="43">
        <v>1.5673204092167756E-2</v>
      </c>
      <c r="Y25" s="38" t="s">
        <v>61</v>
      </c>
      <c r="Z25" s="39">
        <v>60693498.590000026</v>
      </c>
      <c r="AA25" s="43">
        <v>8.7813575341640721E-2</v>
      </c>
      <c r="AB25" s="48">
        <v>13498</v>
      </c>
      <c r="AC25" s="43">
        <v>9.1925310174711203E-3</v>
      </c>
      <c r="AF25"/>
      <c r="AJ25" s="23"/>
      <c r="AM25"/>
      <c r="AV25"/>
      <c r="BI25" s="23"/>
      <c r="BJ25" s="29"/>
      <c r="BK25" s="26"/>
      <c r="BL25" s="20"/>
      <c r="BM25" s="24"/>
      <c r="BN25" s="24"/>
      <c r="BO25" s="24"/>
      <c r="BY25" s="23"/>
      <c r="BZ25" s="23"/>
      <c r="CA25" s="29"/>
      <c r="CB25" s="26"/>
      <c r="CC25" s="20"/>
      <c r="CD25" s="24"/>
      <c r="CE25" s="24"/>
      <c r="CF25" s="24"/>
    </row>
    <row r="26" spans="1:116">
      <c r="D26"/>
      <c r="F26" s="24"/>
      <c r="G26" s="38" t="s">
        <v>66</v>
      </c>
      <c r="H26" s="39">
        <v>691163050.29001021</v>
      </c>
      <c r="I26" s="43">
        <v>1</v>
      </c>
      <c r="J26" s="48">
        <v>1468366</v>
      </c>
      <c r="K26" s="43">
        <v>1</v>
      </c>
      <c r="L26" s="24"/>
      <c r="M26" s="38" t="s">
        <v>94</v>
      </c>
      <c r="N26" s="39">
        <v>28986791.159999892</v>
      </c>
      <c r="O26" s="43">
        <v>4.1939150462162456E-2</v>
      </c>
      <c r="P26" s="48">
        <v>51328</v>
      </c>
      <c r="Q26" s="43">
        <v>3.4955862502945453E-2</v>
      </c>
      <c r="R26" s="20"/>
      <c r="S26" s="38" t="s">
        <v>108</v>
      </c>
      <c r="T26" s="39">
        <v>290589605.02999896</v>
      </c>
      <c r="U26" s="43">
        <v>0.42043567709250129</v>
      </c>
      <c r="V26" s="48">
        <v>634386</v>
      </c>
      <c r="W26" s="43">
        <v>0.43203533723880833</v>
      </c>
      <c r="Y26" s="38" t="s">
        <v>62</v>
      </c>
      <c r="Z26" s="39">
        <v>43725041.220000006</v>
      </c>
      <c r="AA26" s="43">
        <v>6.326299011738705E-2</v>
      </c>
      <c r="AB26" s="48">
        <v>8079</v>
      </c>
      <c r="AC26" s="43">
        <v>5.5020342339716392E-3</v>
      </c>
      <c r="AF26"/>
      <c r="AJ26" s="23"/>
      <c r="AM26"/>
      <c r="AV26"/>
      <c r="BI26" s="23"/>
      <c r="BJ26" s="29"/>
      <c r="BK26" s="26"/>
      <c r="BL26" s="20"/>
      <c r="BM26" s="24"/>
      <c r="BN26" s="24"/>
      <c r="BO26" s="24"/>
      <c r="BY26" s="23"/>
      <c r="BZ26" s="23"/>
      <c r="CA26" s="29"/>
      <c r="CB26" s="26"/>
      <c r="CC26" s="20"/>
      <c r="CD26" s="24"/>
      <c r="CE26" s="24"/>
      <c r="CF26" s="24"/>
    </row>
    <row r="27" spans="1:116">
      <c r="D27"/>
      <c r="F27" s="24"/>
      <c r="J27"/>
      <c r="K27"/>
      <c r="L27" s="24"/>
      <c r="M27" s="38" t="s">
        <v>89</v>
      </c>
      <c r="N27" s="39">
        <v>60807818.569999784</v>
      </c>
      <c r="O27" s="43">
        <v>8.7978977673191558E-2</v>
      </c>
      <c r="P27" s="48">
        <v>105760</v>
      </c>
      <c r="Q27" s="43">
        <v>7.2025639384186227E-2</v>
      </c>
      <c r="R27" s="20"/>
      <c r="S27" s="38" t="s">
        <v>109</v>
      </c>
      <c r="T27" s="39">
        <v>16782890.789999999</v>
      </c>
      <c r="U27" s="43">
        <v>2.4282100703962604E-2</v>
      </c>
      <c r="V27" s="48">
        <v>20981</v>
      </c>
      <c r="W27" s="43">
        <v>1.4288671897878321E-2</v>
      </c>
      <c r="Y27" s="38" t="s">
        <v>96</v>
      </c>
      <c r="Z27" s="39">
        <v>11195908.080000002</v>
      </c>
      <c r="AA27" s="43">
        <v>1.6198649617195578E-2</v>
      </c>
      <c r="AB27" s="48">
        <v>1765</v>
      </c>
      <c r="AC27" s="43">
        <v>1.2020163910087811E-3</v>
      </c>
      <c r="AF27"/>
      <c r="AJ27" s="23"/>
      <c r="AM27"/>
      <c r="AT27" s="29"/>
      <c r="AU27" s="26"/>
      <c r="AV27"/>
      <c r="BI27" s="23"/>
      <c r="BJ27" s="29"/>
      <c r="BK27" s="26"/>
      <c r="BL27" s="20"/>
      <c r="BM27" s="24"/>
      <c r="BN27" s="24"/>
      <c r="BO27" s="24"/>
      <c r="BY27" s="23"/>
      <c r="BZ27" s="23"/>
      <c r="CA27" s="29"/>
      <c r="CB27" s="26"/>
      <c r="CC27" s="20"/>
      <c r="CD27" s="24"/>
      <c r="CE27" s="24"/>
      <c r="CF27" s="24"/>
    </row>
    <row r="28" spans="1:116">
      <c r="D28"/>
      <c r="F28" s="24"/>
      <c r="J28"/>
      <c r="K28"/>
      <c r="L28" s="24"/>
      <c r="M28" s="38" t="s">
        <v>95</v>
      </c>
      <c r="N28" s="39">
        <v>105831802.05000012</v>
      </c>
      <c r="O28" s="43">
        <v>0.15312132499790515</v>
      </c>
      <c r="P28" s="48">
        <v>111040</v>
      </c>
      <c r="Q28" s="43">
        <v>7.5621473120461788E-2</v>
      </c>
      <c r="R28" s="20"/>
      <c r="S28" s="38" t="s">
        <v>110</v>
      </c>
      <c r="T28" s="39">
        <v>23570031.579999998</v>
      </c>
      <c r="U28" s="43">
        <v>3.4101984430605879E-2</v>
      </c>
      <c r="V28" s="48">
        <v>40961</v>
      </c>
      <c r="W28" s="43">
        <v>2.7895633649921068E-2</v>
      </c>
      <c r="Y28" s="38" t="s">
        <v>63</v>
      </c>
      <c r="Z28" s="39">
        <v>4198813.47</v>
      </c>
      <c r="AA28" s="43">
        <v>6.0749970187760887E-3</v>
      </c>
      <c r="AB28" s="48">
        <v>559</v>
      </c>
      <c r="AC28" s="43">
        <v>3.8069527624584061E-4</v>
      </c>
      <c r="AF28"/>
      <c r="AJ28" s="23"/>
      <c r="AM28"/>
      <c r="AV28"/>
      <c r="BI28" s="23"/>
      <c r="BJ28" s="29"/>
      <c r="BK28" s="26"/>
      <c r="BL28" s="20"/>
      <c r="BM28" s="24"/>
      <c r="BN28" s="24"/>
      <c r="BO28" s="24"/>
      <c r="BY28" s="23"/>
      <c r="BZ28" s="23"/>
      <c r="CA28" s="29"/>
      <c r="CB28" s="26"/>
      <c r="CC28" s="20"/>
      <c r="CD28" s="24"/>
      <c r="CE28" s="24"/>
      <c r="CF28" s="24"/>
    </row>
    <row r="29" spans="1:116">
      <c r="D29"/>
      <c r="F29" s="24"/>
      <c r="J29"/>
      <c r="K29"/>
      <c r="M29" s="38" t="s">
        <v>66</v>
      </c>
      <c r="N29" s="39">
        <v>691163050.29001021</v>
      </c>
      <c r="O29" s="43">
        <v>1</v>
      </c>
      <c r="P29" s="48">
        <v>1468366</v>
      </c>
      <c r="Q29" s="43">
        <v>1</v>
      </c>
      <c r="R29" s="20"/>
      <c r="S29" s="38" t="s">
        <v>111</v>
      </c>
      <c r="T29" s="39">
        <v>10108218.309999999</v>
      </c>
      <c r="U29" s="43">
        <v>1.4624940244937308E-2</v>
      </c>
      <c r="V29" s="48">
        <v>16765</v>
      </c>
      <c r="W29" s="43">
        <v>1.1417453141791625E-2</v>
      </c>
      <c r="Y29" s="38" t="s">
        <v>64</v>
      </c>
      <c r="Z29" s="39">
        <v>1996543.73</v>
      </c>
      <c r="AA29" s="43">
        <v>2.888672548629814E-3</v>
      </c>
      <c r="AB29" s="48">
        <v>236</v>
      </c>
      <c r="AC29" s="43">
        <v>1.6072287154565007E-4</v>
      </c>
      <c r="AF29"/>
      <c r="AJ29" s="23"/>
      <c r="AM29"/>
      <c r="AV29"/>
      <c r="BI29" s="23"/>
      <c r="BJ29" s="29"/>
      <c r="BK29" s="26"/>
      <c r="BL29" s="20"/>
      <c r="BM29" s="24"/>
      <c r="BN29" s="24"/>
      <c r="BO29" s="24"/>
      <c r="BY29" s="23"/>
      <c r="BZ29" s="23"/>
      <c r="CA29" s="29"/>
      <c r="CB29" s="26"/>
      <c r="CC29" s="20"/>
      <c r="CD29" s="24"/>
      <c r="CE29" s="24"/>
      <c r="CF29" s="24"/>
    </row>
    <row r="30" spans="1:116">
      <c r="D30"/>
      <c r="F30" s="24"/>
      <c r="J30"/>
      <c r="K30"/>
      <c r="S30" s="38" t="s">
        <v>112</v>
      </c>
      <c r="T30" s="39">
        <v>84015.819999999992</v>
      </c>
      <c r="U30" s="43">
        <v>1.2155716363128378E-4</v>
      </c>
      <c r="V30" s="48">
        <v>346</v>
      </c>
      <c r="W30" s="43">
        <v>2.3563607438472424E-4</v>
      </c>
      <c r="Y30" s="38" t="s">
        <v>65</v>
      </c>
      <c r="Z30" s="39">
        <v>1884799.9900000002</v>
      </c>
      <c r="AA30" s="43">
        <v>2.72699761540948E-3</v>
      </c>
      <c r="AB30" s="48">
        <v>196</v>
      </c>
      <c r="AC30" s="43">
        <v>1.3348170687689582E-4</v>
      </c>
      <c r="AF30"/>
      <c r="AJ30" s="23"/>
      <c r="AM30"/>
      <c r="AV30"/>
      <c r="BI30" s="23"/>
      <c r="BJ30" s="29"/>
      <c r="BK30" s="26"/>
      <c r="BL30" s="20"/>
      <c r="BM30" s="24"/>
      <c r="BN30" s="24"/>
      <c r="BO30" s="24"/>
      <c r="BY30" s="23"/>
      <c r="BZ30" s="23"/>
      <c r="CA30" s="29"/>
      <c r="CB30" s="26"/>
      <c r="CC30" s="20"/>
      <c r="CD30" s="24"/>
      <c r="CE30" s="24"/>
      <c r="CF30" s="24"/>
    </row>
    <row r="31" spans="1:116">
      <c r="D31"/>
      <c r="F31" s="24"/>
      <c r="J31"/>
      <c r="K31"/>
      <c r="S31" s="38" t="s">
        <v>113</v>
      </c>
      <c r="T31" s="39">
        <v>14217839.080000002</v>
      </c>
      <c r="U31" s="43">
        <v>2.0570890000607286E-2</v>
      </c>
      <c r="V31" s="48">
        <v>27662</v>
      </c>
      <c r="W31" s="43">
        <v>1.8838627426676999E-2</v>
      </c>
      <c r="Y31" s="38" t="s">
        <v>82</v>
      </c>
      <c r="Z31" s="39">
        <v>820897.15</v>
      </c>
      <c r="AA31" s="43">
        <v>1.1877040441550712E-3</v>
      </c>
      <c r="AB31" s="48">
        <v>79</v>
      </c>
      <c r="AC31" s="43">
        <v>5.3801300220789637E-5</v>
      </c>
      <c r="AF31"/>
      <c r="AJ31" s="23"/>
      <c r="AK31" s="29"/>
      <c r="AL31" s="26"/>
      <c r="AM31" s="20"/>
      <c r="AN31" s="24"/>
      <c r="AO31" s="24"/>
      <c r="AV31"/>
      <c r="BI31" s="23"/>
      <c r="BJ31" s="29"/>
      <c r="BK31" s="26"/>
      <c r="BL31" s="20"/>
      <c r="BM31" s="24"/>
      <c r="BN31" s="24"/>
      <c r="BO31" s="24"/>
      <c r="BY31" s="23"/>
      <c r="BZ31" s="23"/>
      <c r="CA31" s="29"/>
      <c r="CB31" s="26"/>
      <c r="CC31" s="20"/>
      <c r="CD31" s="24"/>
      <c r="CE31" s="24"/>
      <c r="CF31" s="24"/>
    </row>
    <row r="32" spans="1:116">
      <c r="D32"/>
      <c r="F32" s="24"/>
      <c r="J32"/>
      <c r="K32"/>
      <c r="S32" s="38" t="s">
        <v>114</v>
      </c>
      <c r="T32" s="39">
        <v>2837.25</v>
      </c>
      <c r="U32" s="43">
        <v>4.1050371526798157E-6</v>
      </c>
      <c r="V32" s="48">
        <v>9</v>
      </c>
      <c r="W32" s="43">
        <v>6.1292620504697061E-6</v>
      </c>
      <c r="Y32" s="38" t="s">
        <v>83</v>
      </c>
      <c r="Z32" s="39">
        <v>403003.07</v>
      </c>
      <c r="AA32" s="43">
        <v>5.8307959291356939E-4</v>
      </c>
      <c r="AB32" s="48">
        <v>35</v>
      </c>
      <c r="AC32" s="43">
        <v>2.3836019085159966E-5</v>
      </c>
      <c r="AF32"/>
      <c r="AJ32" s="23"/>
      <c r="AK32" s="29"/>
      <c r="AL32" s="26"/>
      <c r="AM32" s="20"/>
      <c r="AN32" s="24"/>
      <c r="AO32" s="24"/>
      <c r="AV32"/>
      <c r="BI32" s="23"/>
      <c r="BJ32" s="29"/>
      <c r="BK32" s="26"/>
      <c r="BL32" s="20"/>
      <c r="BM32" s="24"/>
      <c r="BN32" s="24"/>
      <c r="BO32" s="24"/>
      <c r="BY32" s="23"/>
      <c r="BZ32" s="23"/>
      <c r="CA32" s="29"/>
      <c r="CB32" s="26"/>
      <c r="CC32" s="20"/>
      <c r="CD32" s="24"/>
      <c r="CE32" s="24"/>
      <c r="CF32" s="24"/>
    </row>
    <row r="33" spans="4:84">
      <c r="D33"/>
      <c r="F33" s="24"/>
      <c r="J33"/>
      <c r="K33"/>
      <c r="S33" s="38" t="s">
        <v>115</v>
      </c>
      <c r="T33" s="39">
        <v>204</v>
      </c>
      <c r="U33" s="43">
        <v>2.9515466707081945E-7</v>
      </c>
      <c r="V33" s="48">
        <v>3</v>
      </c>
      <c r="W33" s="43">
        <v>2.0430873501565686E-6</v>
      </c>
      <c r="Y33" s="38" t="s">
        <v>84</v>
      </c>
      <c r="Z33" s="39">
        <v>289080.67000000004</v>
      </c>
      <c r="AA33" s="43">
        <v>4.1825249465911486E-4</v>
      </c>
      <c r="AB33" s="48">
        <v>23</v>
      </c>
      <c r="AC33" s="43">
        <v>1.5663669684533694E-5</v>
      </c>
      <c r="AF33"/>
      <c r="AV33"/>
      <c r="BI33" s="23"/>
      <c r="BJ33" s="29"/>
      <c r="BK33" s="26"/>
      <c r="BL33" s="20"/>
      <c r="BM33" s="24"/>
      <c r="BN33" s="24"/>
      <c r="BO33" s="24"/>
      <c r="BY33" s="23"/>
      <c r="BZ33" s="23"/>
      <c r="CA33" s="29"/>
      <c r="CB33" s="26"/>
      <c r="CC33" s="20"/>
      <c r="CD33" s="24"/>
      <c r="CE33" s="24"/>
      <c r="CF33" s="24"/>
    </row>
    <row r="34" spans="4:84">
      <c r="D34"/>
      <c r="F34" s="24"/>
      <c r="J34"/>
      <c r="K34"/>
      <c r="S34" s="38" t="s">
        <v>116</v>
      </c>
      <c r="T34" s="39">
        <v>546.29999999999995</v>
      </c>
      <c r="U34" s="43">
        <v>7.9040683637641499E-7</v>
      </c>
      <c r="V34" s="48">
        <v>3</v>
      </c>
      <c r="W34" s="43">
        <v>2.0430873501565686E-6</v>
      </c>
      <c r="Y34" s="38" t="s">
        <v>97</v>
      </c>
      <c r="Z34" s="39">
        <v>270448.08999999997</v>
      </c>
      <c r="AA34" s="43">
        <v>3.9129419590141671E-4</v>
      </c>
      <c r="AB34" s="48">
        <v>20</v>
      </c>
      <c r="AC34" s="43">
        <v>1.3620582334377124E-5</v>
      </c>
      <c r="AF34"/>
      <c r="AV34"/>
      <c r="BI34" s="23"/>
      <c r="BJ34" s="29"/>
      <c r="BK34" s="26"/>
      <c r="BL34" s="20"/>
      <c r="BM34" s="24"/>
      <c r="BN34" s="24"/>
      <c r="BO34" s="24"/>
      <c r="BY34" s="23"/>
      <c r="BZ34" s="23"/>
      <c r="CA34" s="29"/>
      <c r="CB34" s="26"/>
      <c r="CC34" s="20"/>
      <c r="CD34" s="24"/>
      <c r="CE34" s="24"/>
      <c r="CF34" s="24"/>
    </row>
    <row r="35" spans="4:84">
      <c r="D35"/>
      <c r="F35" s="24"/>
      <c r="J35"/>
      <c r="K35"/>
      <c r="S35" s="38" t="s">
        <v>117</v>
      </c>
      <c r="T35" s="39">
        <v>254.70000000000002</v>
      </c>
      <c r="U35" s="43">
        <v>3.6850928285753785E-7</v>
      </c>
      <c r="V35" s="48">
        <v>3</v>
      </c>
      <c r="W35" s="43">
        <v>2.0430873501565686E-6</v>
      </c>
      <c r="Y35" s="38" t="s">
        <v>98</v>
      </c>
      <c r="Z35" s="39">
        <v>294541.39999999997</v>
      </c>
      <c r="AA35" s="43">
        <v>4.2615327870378946E-4</v>
      </c>
      <c r="AB35" s="48">
        <v>20</v>
      </c>
      <c r="AC35" s="43">
        <v>1.3620582334377124E-5</v>
      </c>
      <c r="AF35"/>
      <c r="AQ35" s="6"/>
      <c r="AV35"/>
      <c r="BI35" s="23"/>
      <c r="BJ35" s="29"/>
      <c r="BK35" s="26"/>
      <c r="BL35" s="20"/>
      <c r="BM35" s="24"/>
      <c r="BN35" s="24"/>
      <c r="BO35" s="24"/>
      <c r="BY35" s="23"/>
      <c r="BZ35" s="23"/>
      <c r="CA35" s="29"/>
      <c r="CB35" s="26"/>
      <c r="CC35" s="20"/>
      <c r="CD35" s="24"/>
      <c r="CE35" s="24"/>
      <c r="CF35" s="24"/>
    </row>
    <row r="36" spans="4:84">
      <c r="D36"/>
      <c r="F36" s="24"/>
      <c r="J36"/>
      <c r="K36"/>
      <c r="S36" s="38" t="s">
        <v>118</v>
      </c>
      <c r="T36" s="39">
        <v>1161.7199999999998</v>
      </c>
      <c r="U36" s="43">
        <v>1.680819018772119E-6</v>
      </c>
      <c r="V36" s="48">
        <v>9</v>
      </c>
      <c r="W36" s="43">
        <v>6.1292620504697061E-6</v>
      </c>
      <c r="Y36" s="38" t="s">
        <v>99</v>
      </c>
      <c r="Z36" s="39">
        <v>76504</v>
      </c>
      <c r="AA36" s="43">
        <v>1.1068878749797045E-4</v>
      </c>
      <c r="AB36" s="48">
        <v>5</v>
      </c>
      <c r="AC36" s="43">
        <v>3.4051455835942809E-6</v>
      </c>
      <c r="AF36"/>
      <c r="AQ36" s="26"/>
      <c r="AV36"/>
      <c r="BI36" s="23"/>
      <c r="BJ36" s="29"/>
      <c r="BK36" s="26"/>
      <c r="BL36" s="20"/>
      <c r="BM36" s="24"/>
      <c r="BN36" s="24"/>
      <c r="BO36" s="24"/>
      <c r="BY36" s="23"/>
      <c r="BZ36" s="23"/>
      <c r="CA36" s="29"/>
      <c r="CB36" s="26"/>
      <c r="CC36" s="20"/>
      <c r="CD36" s="24"/>
      <c r="CE36" s="24"/>
      <c r="CF36" s="24"/>
    </row>
    <row r="37" spans="4:84">
      <c r="D37"/>
      <c r="F37" s="24"/>
      <c r="J37"/>
      <c r="K37"/>
      <c r="S37" s="38" t="s">
        <v>119</v>
      </c>
      <c r="T37" s="39">
        <v>402.27</v>
      </c>
      <c r="U37" s="43">
        <v>5.8201896040479668E-7</v>
      </c>
      <c r="V37" s="48">
        <v>3</v>
      </c>
      <c r="W37" s="43">
        <v>2.0430873501565686E-6</v>
      </c>
      <c r="Y37" s="38" t="s">
        <v>85</v>
      </c>
      <c r="Z37" s="39">
        <v>33980</v>
      </c>
      <c r="AA37" s="43">
        <v>4.9163507779737471E-5</v>
      </c>
      <c r="AB37" s="48">
        <v>2</v>
      </c>
      <c r="AC37" s="43">
        <v>1.3620582334377124E-6</v>
      </c>
      <c r="AQ37" s="23"/>
      <c r="BY37" s="23"/>
      <c r="BZ37" s="23"/>
      <c r="CA37" s="29"/>
      <c r="CB37" s="26"/>
      <c r="CC37" s="20"/>
      <c r="CD37" s="24"/>
      <c r="CE37" s="24"/>
      <c r="CF37" s="24"/>
    </row>
    <row r="38" spans="4:84">
      <c r="D38"/>
      <c r="F38" s="24"/>
      <c r="J38"/>
      <c r="K38"/>
      <c r="S38" s="38" t="s">
        <v>66</v>
      </c>
      <c r="T38" s="39">
        <v>691163050.29001021</v>
      </c>
      <c r="U38" s="43">
        <v>1</v>
      </c>
      <c r="V38" s="48">
        <v>1468366</v>
      </c>
      <c r="W38" s="43">
        <v>1</v>
      </c>
      <c r="Y38" s="38" t="s">
        <v>100</v>
      </c>
      <c r="Z38" s="39">
        <v>53361</v>
      </c>
      <c r="AA38" s="43">
        <v>7.7204647988068613E-5</v>
      </c>
      <c r="AB38" s="48">
        <v>3</v>
      </c>
      <c r="AC38" s="43">
        <v>2.0430873501565686E-6</v>
      </c>
      <c r="AQ38" s="24"/>
      <c r="AW38" s="6"/>
      <c r="AX38" s="6"/>
      <c r="BY38" s="23"/>
      <c r="BZ38" s="23"/>
      <c r="CA38" s="29"/>
      <c r="CB38" s="26"/>
      <c r="CC38" s="20"/>
      <c r="CD38" s="24"/>
      <c r="CE38" s="24"/>
      <c r="CF38" s="24"/>
    </row>
    <row r="39" spans="4:84">
      <c r="D39"/>
      <c r="F39" s="24"/>
      <c r="J39"/>
      <c r="K39"/>
      <c r="Y39" s="38" t="s">
        <v>101</v>
      </c>
      <c r="Z39" s="39">
        <v>98686</v>
      </c>
      <c r="AA39" s="43">
        <v>1.4278251703211218E-4</v>
      </c>
      <c r="AB39" s="48">
        <v>5</v>
      </c>
      <c r="AC39" s="43">
        <v>3.4051455835942809E-6</v>
      </c>
      <c r="AQ39" s="24"/>
      <c r="AW39" s="6"/>
      <c r="AX39" s="6"/>
      <c r="BY39" s="23"/>
      <c r="BZ39" s="23"/>
      <c r="CA39" s="29"/>
      <c r="CB39" s="26"/>
      <c r="CC39" s="20"/>
      <c r="CD39" s="24"/>
      <c r="CE39" s="24"/>
      <c r="CF39" s="24"/>
    </row>
    <row r="40" spans="4:84">
      <c r="D40"/>
      <c r="F40" s="24"/>
      <c r="J40"/>
      <c r="K40"/>
      <c r="Y40" s="38" t="s">
        <v>66</v>
      </c>
      <c r="Z40" s="39">
        <v>691163050.29001021</v>
      </c>
      <c r="AA40" s="43">
        <v>1</v>
      </c>
      <c r="AB40" s="48">
        <v>1468366</v>
      </c>
      <c r="AC40" s="43">
        <v>1</v>
      </c>
      <c r="AQ40" s="24"/>
      <c r="AW40" s="6"/>
      <c r="AX40" s="6"/>
      <c r="BY40" s="23"/>
      <c r="BZ40" s="23"/>
      <c r="CA40" s="29"/>
      <c r="CB40" s="26"/>
      <c r="CC40" s="20"/>
      <c r="CD40" s="24"/>
      <c r="CE40" s="24"/>
      <c r="CF40" s="24"/>
    </row>
    <row r="41" spans="4:84">
      <c r="D41"/>
      <c r="F41" s="24"/>
      <c r="Y41"/>
      <c r="AQ41" s="24"/>
      <c r="AV41" s="20"/>
      <c r="AW41" s="6"/>
      <c r="AX41" s="6"/>
      <c r="BY41" s="23"/>
      <c r="BZ41" s="23"/>
      <c r="CA41" s="29"/>
      <c r="CB41" s="26"/>
      <c r="CC41" s="20"/>
      <c r="CD41" s="24"/>
      <c r="CE41" s="24"/>
      <c r="CF41" s="24"/>
    </row>
    <row r="42" spans="4:84">
      <c r="D42"/>
      <c r="F42" s="24"/>
      <c r="Y42"/>
      <c r="AQ42" s="24"/>
      <c r="AV42" s="20"/>
      <c r="AW42" s="6"/>
      <c r="AX42" s="6"/>
      <c r="BY42" s="23"/>
      <c r="BZ42" s="23"/>
      <c r="CA42" s="29"/>
      <c r="CB42" s="26"/>
      <c r="CC42" s="20"/>
      <c r="CD42" s="24"/>
      <c r="CE42" s="24"/>
      <c r="CF42" s="24"/>
    </row>
    <row r="43" spans="4:84">
      <c r="D43"/>
      <c r="F43" s="24"/>
      <c r="Y43"/>
      <c r="AV43" s="20"/>
      <c r="AW43" s="26"/>
      <c r="AX43" s="26"/>
      <c r="BY43" s="23"/>
      <c r="BZ43" s="23"/>
      <c r="CA43" s="29"/>
      <c r="CB43" s="26"/>
      <c r="CC43" s="20"/>
      <c r="CD43" s="24"/>
      <c r="CE43" s="24"/>
      <c r="CF43" s="24"/>
    </row>
    <row r="44" spans="4:84">
      <c r="D44"/>
      <c r="F44" s="24"/>
      <c r="Y44"/>
      <c r="AQ44" s="12"/>
      <c r="AV44" s="20"/>
      <c r="AW44" s="23"/>
      <c r="AX44" s="23"/>
      <c r="BY44" s="23"/>
      <c r="BZ44" s="23"/>
      <c r="CA44" s="29"/>
      <c r="CB44" s="26"/>
      <c r="CC44" s="20"/>
      <c r="CD44" s="24"/>
      <c r="CE44" s="24"/>
      <c r="CF44" s="24"/>
    </row>
    <row r="45" spans="4:84">
      <c r="D45"/>
      <c r="F45" s="24"/>
      <c r="Y45"/>
      <c r="AQ45" s="12"/>
      <c r="AV45" s="20"/>
      <c r="AW45" s="24"/>
      <c r="AX45" s="24"/>
      <c r="BI45" s="11"/>
      <c r="BQ45" s="19"/>
      <c r="BR45" s="18"/>
      <c r="BY45" s="23"/>
      <c r="BZ45" s="23"/>
      <c r="CA45" s="29"/>
      <c r="CB45" s="26"/>
      <c r="CC45" s="20"/>
      <c r="CD45" s="24"/>
      <c r="CE45" s="24"/>
      <c r="CF45" s="24"/>
    </row>
    <row r="46" spans="4:84">
      <c r="D46"/>
      <c r="F46" s="24"/>
      <c r="Y46"/>
      <c r="AQ46" s="12"/>
      <c r="AV46" s="26"/>
      <c r="AW46" s="24"/>
      <c r="AX46" s="24"/>
      <c r="BI46" s="19"/>
      <c r="BJ46" s="18"/>
      <c r="BQ46" s="19"/>
      <c r="BR46" s="18"/>
      <c r="BY46" s="23"/>
      <c r="BZ46" s="23"/>
      <c r="CA46" s="29"/>
      <c r="CB46" s="26"/>
      <c r="CC46" s="20"/>
      <c r="CD46" s="24"/>
      <c r="CE46" s="24"/>
      <c r="CF46" s="24"/>
    </row>
    <row r="47" spans="4:84">
      <c r="D47"/>
      <c r="F47" s="24"/>
      <c r="Y47"/>
      <c r="AQ47" s="9"/>
      <c r="AV47" s="26"/>
      <c r="AW47" s="24"/>
      <c r="AX47" s="24"/>
      <c r="BI47" s="19"/>
      <c r="BJ47" s="18"/>
      <c r="BQ47" s="19"/>
      <c r="BR47" s="18"/>
      <c r="BY47" s="23"/>
      <c r="BZ47" s="23"/>
      <c r="CA47" s="29"/>
      <c r="CB47" s="26"/>
      <c r="CC47" s="20"/>
      <c r="CD47" s="24"/>
      <c r="CE47" s="24"/>
      <c r="CF47" s="24"/>
    </row>
    <row r="48" spans="4:84">
      <c r="D48"/>
      <c r="Y48"/>
      <c r="AV48" s="20"/>
      <c r="AW48" s="24"/>
      <c r="AX48" s="24"/>
      <c r="BI48" s="19"/>
      <c r="BJ48" s="18"/>
      <c r="BQ48" s="19"/>
      <c r="BR48" s="18"/>
      <c r="BY48" s="23"/>
      <c r="BZ48" s="23"/>
      <c r="CA48" s="29"/>
      <c r="CB48" s="26"/>
      <c r="CC48" s="20"/>
      <c r="CD48" s="24"/>
      <c r="CE48" s="24"/>
      <c r="CF48" s="24"/>
    </row>
    <row r="49" spans="25:84">
      <c r="Y49"/>
      <c r="AQ49" s="2"/>
      <c r="AV49" s="20"/>
      <c r="AW49" s="24"/>
      <c r="AX49" s="24"/>
      <c r="BI49" s="19"/>
      <c r="BJ49" s="18"/>
      <c r="BQ49" s="19"/>
      <c r="BR49" s="18"/>
      <c r="BY49" s="23"/>
      <c r="BZ49" s="23"/>
      <c r="CA49" s="29"/>
      <c r="CB49" s="26"/>
      <c r="CC49" s="20"/>
      <c r="CD49" s="24"/>
      <c r="CE49" s="24"/>
      <c r="CF49" s="24"/>
    </row>
    <row r="50" spans="25:84">
      <c r="Y50"/>
      <c r="AQ50" s="2"/>
      <c r="AV50" s="20"/>
      <c r="AW50" s="24"/>
      <c r="AX50" s="24"/>
      <c r="BY50" s="23"/>
      <c r="BZ50" s="23"/>
      <c r="CA50" s="29"/>
      <c r="CB50" s="26"/>
      <c r="CC50" s="20"/>
      <c r="CD50" s="24"/>
      <c r="CE50" s="24"/>
      <c r="CF50" s="24"/>
    </row>
    <row r="51" spans="25:84">
      <c r="Y51"/>
      <c r="AQ51" s="2"/>
      <c r="AV51" s="20"/>
      <c r="AW51" s="24"/>
      <c r="AX51" s="24"/>
      <c r="BI51" s="31"/>
      <c r="BJ51" s="23"/>
      <c r="BK51" s="26"/>
      <c r="BL51" s="26"/>
      <c r="BM51" s="23"/>
      <c r="BN51" s="23"/>
      <c r="BO51" s="23"/>
      <c r="BQ51" s="31"/>
      <c r="BR51" s="23"/>
      <c r="BS51" s="26"/>
      <c r="BT51" s="26"/>
      <c r="BU51" s="26"/>
      <c r="BV51" s="23"/>
      <c r="BW51" s="23"/>
      <c r="BY51" s="23"/>
      <c r="BZ51" s="23"/>
      <c r="CA51" s="29"/>
      <c r="CB51" s="26"/>
      <c r="CC51" s="20"/>
      <c r="CD51" s="24"/>
      <c r="CE51" s="24"/>
      <c r="CF51" s="24"/>
    </row>
    <row r="52" spans="25:84">
      <c r="Y52"/>
      <c r="AQ52" s="9"/>
      <c r="AV52" s="20"/>
      <c r="AW52" s="24"/>
      <c r="AX52" s="24"/>
      <c r="BI52" s="23"/>
      <c r="BJ52" s="29"/>
      <c r="BK52" s="26"/>
      <c r="BL52" s="26"/>
      <c r="BM52" s="32"/>
      <c r="BN52" s="32"/>
      <c r="BO52" s="32"/>
      <c r="BQ52" s="23"/>
      <c r="BR52" s="25"/>
      <c r="BS52" s="20"/>
      <c r="BT52" s="20"/>
      <c r="BU52" s="20"/>
      <c r="BV52" s="24"/>
      <c r="BW52" s="24"/>
      <c r="BY52" s="23"/>
      <c r="BZ52" s="23"/>
      <c r="CA52" s="29"/>
      <c r="CB52" s="26"/>
      <c r="CC52" s="20"/>
      <c r="CD52" s="24"/>
      <c r="CE52" s="24"/>
      <c r="CF52" s="24"/>
    </row>
    <row r="53" spans="25:84">
      <c r="Y53"/>
      <c r="AQ53" s="23"/>
      <c r="AV53" s="20"/>
      <c r="AW53" s="24"/>
      <c r="AX53" s="24"/>
      <c r="BI53" s="23"/>
      <c r="BJ53" s="29"/>
      <c r="BK53" s="26"/>
      <c r="BL53" s="26"/>
      <c r="BM53" s="32"/>
      <c r="BN53" s="32"/>
      <c r="BO53" s="32"/>
      <c r="BQ53" s="23"/>
      <c r="BR53" s="25"/>
      <c r="BS53" s="20"/>
      <c r="BT53" s="20"/>
      <c r="BU53" s="20"/>
      <c r="BV53" s="24"/>
      <c r="BW53" s="24"/>
      <c r="BY53" s="23"/>
      <c r="BZ53" s="23"/>
      <c r="CA53" s="29"/>
      <c r="CB53" s="26"/>
      <c r="CC53" s="20"/>
      <c r="CD53" s="24"/>
      <c r="CE53" s="24"/>
      <c r="CF53" s="24"/>
    </row>
    <row r="54" spans="25:84">
      <c r="AQ54" s="24"/>
      <c r="AV54" s="20"/>
      <c r="AW54" s="24"/>
      <c r="AX54" s="24"/>
      <c r="BI54" s="23"/>
      <c r="BJ54" s="29"/>
      <c r="BK54" s="26"/>
      <c r="BL54" s="26"/>
      <c r="BM54" s="32"/>
      <c r="BN54" s="32"/>
      <c r="BO54" s="32"/>
      <c r="BQ54" s="23"/>
      <c r="BR54" s="25"/>
      <c r="BS54" s="20"/>
      <c r="BT54" s="20"/>
      <c r="BU54" s="20"/>
      <c r="BV54" s="24"/>
      <c r="BW54" s="24"/>
      <c r="BY54" s="23"/>
      <c r="BZ54" s="23"/>
      <c r="CA54" s="29"/>
      <c r="CB54" s="26"/>
      <c r="CC54" s="20"/>
      <c r="CD54" s="24"/>
      <c r="CE54" s="24"/>
      <c r="CF54" s="24"/>
    </row>
    <row r="55" spans="25:84">
      <c r="AQ55" s="24"/>
      <c r="AV55" s="20"/>
      <c r="AW55" s="24"/>
      <c r="AX55" s="24"/>
      <c r="BI55" s="23"/>
      <c r="BJ55" s="29"/>
      <c r="BK55" s="26"/>
      <c r="BL55" s="26"/>
      <c r="BM55" s="32"/>
      <c r="BN55" s="32"/>
      <c r="BO55" s="32"/>
      <c r="BQ55" s="23"/>
      <c r="BR55" s="25"/>
      <c r="BS55" s="20"/>
      <c r="BT55" s="20"/>
      <c r="BU55" s="20"/>
      <c r="BV55" s="24"/>
      <c r="BW55" s="24"/>
      <c r="BY55" s="23"/>
      <c r="BZ55" s="23"/>
      <c r="CA55" s="29"/>
      <c r="CB55" s="26"/>
      <c r="CC55" s="20"/>
      <c r="CD55" s="24"/>
      <c r="CE55" s="24"/>
      <c r="CF55" s="24"/>
    </row>
    <row r="56" spans="25:84">
      <c r="AQ56" s="24"/>
      <c r="AV56" s="20"/>
      <c r="AW56" s="24"/>
      <c r="AX56" s="24"/>
      <c r="BI56" s="23"/>
      <c r="BJ56" s="29"/>
      <c r="BK56" s="26"/>
      <c r="BL56" s="26"/>
      <c r="BM56" s="32"/>
      <c r="BN56" s="32"/>
      <c r="BO56" s="32"/>
      <c r="BQ56" s="23"/>
      <c r="BR56" s="25"/>
      <c r="BS56" s="20"/>
      <c r="BT56" s="20"/>
      <c r="BU56" s="20"/>
      <c r="BV56" s="24"/>
      <c r="BW56" s="24"/>
      <c r="BY56" s="23"/>
      <c r="BZ56" s="23"/>
      <c r="CA56" s="29"/>
      <c r="CB56" s="26"/>
      <c r="CC56" s="20"/>
      <c r="CD56" s="24"/>
      <c r="CE56" s="24"/>
      <c r="CF56" s="24"/>
    </row>
    <row r="57" spans="25:84">
      <c r="AQ57" s="24"/>
      <c r="AV57" s="20"/>
      <c r="AW57" s="24"/>
      <c r="AX57" s="24"/>
      <c r="BI57" s="23"/>
      <c r="BJ57" s="29"/>
      <c r="BK57" s="26"/>
      <c r="BL57" s="26"/>
      <c r="BM57" s="32"/>
      <c r="BN57" s="32"/>
      <c r="BO57" s="32"/>
      <c r="BQ57" s="23"/>
      <c r="BR57" s="25"/>
      <c r="BS57" s="20"/>
      <c r="BT57" s="20"/>
      <c r="BU57" s="20"/>
      <c r="BV57" s="24"/>
      <c r="BW57" s="24"/>
      <c r="BY57" s="23"/>
      <c r="BZ57" s="23"/>
      <c r="CA57" s="29"/>
      <c r="CB57" s="26"/>
      <c r="CC57" s="20"/>
      <c r="CD57" s="24"/>
      <c r="CE57" s="24"/>
      <c r="CF57" s="24"/>
    </row>
    <row r="58" spans="25:84">
      <c r="AQ58" s="24"/>
      <c r="AV58" s="20"/>
      <c r="AW58" s="24"/>
      <c r="AX58" s="24"/>
      <c r="BI58" s="23"/>
      <c r="BJ58" s="29"/>
      <c r="BK58" s="26"/>
      <c r="BL58" s="26"/>
      <c r="BM58" s="32"/>
      <c r="BN58" s="32"/>
      <c r="BO58" s="32"/>
      <c r="BQ58" s="23"/>
      <c r="BR58" s="25"/>
      <c r="BS58" s="20"/>
      <c r="BT58" s="20"/>
      <c r="BU58" s="20"/>
      <c r="BV58" s="24"/>
      <c r="BW58" s="24"/>
      <c r="BY58" s="23"/>
      <c r="BZ58" s="23"/>
      <c r="CA58" s="29"/>
      <c r="CB58" s="26"/>
      <c r="CC58" s="20"/>
      <c r="CD58" s="24"/>
      <c r="CE58" s="24"/>
      <c r="CF58" s="24"/>
    </row>
    <row r="59" spans="25:84">
      <c r="AV59" s="20"/>
      <c r="AW59" s="24"/>
      <c r="AX59" s="24"/>
      <c r="BI59" s="23"/>
      <c r="BJ59" s="29"/>
      <c r="BK59" s="26"/>
      <c r="BL59" s="26"/>
      <c r="BM59" s="32"/>
      <c r="BN59" s="32"/>
      <c r="BO59" s="32"/>
      <c r="BQ59" s="23"/>
      <c r="BR59" s="25"/>
      <c r="BS59" s="20"/>
      <c r="BT59" s="20"/>
      <c r="BU59" s="20"/>
      <c r="BV59" s="24"/>
      <c r="BW59" s="24"/>
      <c r="BY59" s="23"/>
      <c r="BZ59" s="23"/>
      <c r="CA59" s="29"/>
      <c r="CB59" s="26"/>
      <c r="CC59" s="20"/>
      <c r="CD59" s="24"/>
      <c r="CE59" s="24"/>
      <c r="CF59" s="24"/>
    </row>
    <row r="60" spans="25:84">
      <c r="AQ60" s="9"/>
      <c r="AV60" s="20"/>
      <c r="AW60" s="24"/>
      <c r="AX60" s="24"/>
      <c r="BI60" s="23"/>
      <c r="BJ60" s="29"/>
      <c r="BK60" s="26"/>
      <c r="BL60" s="26"/>
      <c r="BM60" s="32"/>
      <c r="BN60" s="32"/>
      <c r="BO60" s="32"/>
      <c r="BQ60" s="23"/>
      <c r="BR60" s="25"/>
      <c r="BS60" s="20"/>
      <c r="BT60" s="20"/>
      <c r="BU60" s="20"/>
      <c r="BV60" s="24"/>
      <c r="BW60" s="24"/>
      <c r="BY60" s="23"/>
      <c r="BZ60" s="23"/>
      <c r="CA60" s="29"/>
      <c r="CB60" s="26"/>
      <c r="CC60" s="20"/>
      <c r="CD60" s="24"/>
      <c r="CE60" s="24"/>
      <c r="CF60" s="24"/>
    </row>
    <row r="61" spans="25:84">
      <c r="AQ61" s="6"/>
      <c r="AV61" s="20"/>
      <c r="AW61" s="24"/>
      <c r="AX61" s="24"/>
      <c r="BI61" s="23"/>
      <c r="BJ61" s="29"/>
      <c r="BK61" s="26"/>
      <c r="BL61" s="26"/>
      <c r="BM61" s="32"/>
      <c r="BN61" s="32"/>
      <c r="BO61" s="32"/>
      <c r="BU61"/>
      <c r="BY61" s="23"/>
      <c r="BZ61" s="23"/>
      <c r="CA61" s="29"/>
      <c r="CB61" s="26"/>
      <c r="CC61" s="20"/>
      <c r="CD61" s="24"/>
      <c r="CE61" s="24"/>
      <c r="CF61" s="24"/>
    </row>
    <row r="62" spans="25:84">
      <c r="AQ62" s="6"/>
      <c r="AV62" s="20"/>
      <c r="AW62" s="24"/>
      <c r="AX62" s="24"/>
      <c r="BI62" s="23"/>
      <c r="BJ62" s="29"/>
      <c r="BK62" s="26"/>
      <c r="BL62" s="26"/>
      <c r="BM62" s="32"/>
      <c r="BN62" s="32"/>
      <c r="BO62" s="32"/>
      <c r="BU62"/>
      <c r="BY62" s="23"/>
      <c r="BZ62" s="23"/>
      <c r="CA62" s="29"/>
      <c r="CB62" s="26"/>
      <c r="CC62" s="20"/>
      <c r="CD62" s="24"/>
      <c r="CE62" s="24"/>
      <c r="CF62" s="24"/>
    </row>
    <row r="63" spans="25:84">
      <c r="AQ63" s="9"/>
      <c r="AV63" s="20"/>
      <c r="AW63" s="24"/>
      <c r="AX63" s="24"/>
      <c r="BU63"/>
      <c r="BY63" s="23"/>
      <c r="BZ63" s="23"/>
      <c r="CA63" s="29"/>
      <c r="CB63" s="26"/>
      <c r="CC63" s="20"/>
      <c r="CD63" s="24"/>
      <c r="CE63" s="24"/>
      <c r="CF63" s="24"/>
    </row>
    <row r="64" spans="25:84">
      <c r="AQ64" s="9"/>
      <c r="AV64" s="20"/>
      <c r="BU64"/>
      <c r="BY64" s="23"/>
      <c r="BZ64" s="23"/>
      <c r="CA64" s="29"/>
      <c r="CB64" s="26"/>
      <c r="CC64" s="20"/>
      <c r="CD64" s="24"/>
      <c r="CE64" s="24"/>
      <c r="CF64" s="24"/>
    </row>
    <row r="65" spans="43:84">
      <c r="AQ65" s="6"/>
      <c r="AV65" s="20"/>
      <c r="BY65" s="23"/>
      <c r="BZ65" s="23"/>
      <c r="CA65" s="29"/>
      <c r="CB65" s="26"/>
      <c r="CC65" s="20"/>
      <c r="CD65" s="24"/>
      <c r="CE65" s="24"/>
      <c r="CF65" s="24"/>
    </row>
    <row r="66" spans="43:84">
      <c r="AQ66" s="6"/>
      <c r="AV66" s="20"/>
      <c r="BY66" s="23"/>
      <c r="BZ66" s="23"/>
      <c r="CA66" s="29"/>
      <c r="CB66" s="26"/>
      <c r="CC66" s="20"/>
      <c r="CD66" s="24"/>
      <c r="CE66" s="24"/>
      <c r="CF66" s="24"/>
    </row>
    <row r="67" spans="43:84">
      <c r="AQ67" s="6"/>
      <c r="BY67" s="23"/>
      <c r="BZ67" s="23"/>
      <c r="CA67" s="29"/>
      <c r="CB67" s="26"/>
      <c r="CC67" s="20"/>
      <c r="CD67" s="24"/>
      <c r="CE67" s="24"/>
      <c r="CF67" s="24"/>
    </row>
    <row r="68" spans="43:84">
      <c r="AQ68" s="6"/>
    </row>
    <row r="69" spans="43:84">
      <c r="AQ69" s="23"/>
    </row>
    <row r="70" spans="43:84">
      <c r="AQ70" s="23"/>
    </row>
    <row r="71" spans="43:84">
      <c r="AQ71" s="24"/>
    </row>
    <row r="72" spans="43:84">
      <c r="AQ72" s="24"/>
    </row>
    <row r="73" spans="43:84">
      <c r="AQ73" s="24"/>
    </row>
    <row r="74" spans="43:84">
      <c r="AQ74" s="6"/>
    </row>
    <row r="75" spans="43:84">
      <c r="AQ75" s="6"/>
    </row>
    <row r="76" spans="43:84">
      <c r="AQ76" s="6"/>
    </row>
    <row r="77" spans="43:84">
      <c r="AQ77" s="9"/>
    </row>
    <row r="78" spans="43:84">
      <c r="AQ78" s="9"/>
    </row>
    <row r="79" spans="43:84">
      <c r="AQ79" s="6"/>
    </row>
    <row r="80" spans="43:84">
      <c r="AQ80" s="6"/>
    </row>
    <row r="81" spans="43:43">
      <c r="AQ81" s="6"/>
    </row>
    <row r="82" spans="43:43">
      <c r="AQ82" s="6"/>
    </row>
    <row r="83" spans="43:43">
      <c r="AQ83" s="26"/>
    </row>
    <row r="84" spans="43:43">
      <c r="AQ84" s="23"/>
    </row>
    <row r="85" spans="43:43">
      <c r="AQ85" s="24"/>
    </row>
    <row r="86" spans="43:43">
      <c r="AQ86" s="24"/>
    </row>
    <row r="87" spans="43:43">
      <c r="AQ87" s="24"/>
    </row>
    <row r="88" spans="43:43">
      <c r="AQ88" s="24"/>
    </row>
    <row r="89" spans="43:43">
      <c r="AQ89" s="24"/>
    </row>
    <row r="90" spans="43:43">
      <c r="AQ90" s="24"/>
    </row>
    <row r="91" spans="43:43">
      <c r="AQ91" s="24"/>
    </row>
    <row r="92" spans="43:43">
      <c r="AQ92" s="24"/>
    </row>
    <row r="93" spans="43:43">
      <c r="AQ93" s="24"/>
    </row>
  </sheetData>
  <phoneticPr fontId="14" type="noConversion"/>
  <pageMargins left="0.7" right="0.7" top="0.75" bottom="0.75" header="0.3" footer="0.3"/>
  <pageSetup paperSize="9" orientation="portrait" r:id="rId19"/>
  <drawing r:id="rId2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4" sqref="D4"/>
    </sheetView>
  </sheetViews>
  <sheetFormatPr defaultColWidth="9.140625" defaultRowHeight="12.75"/>
  <cols>
    <col min="1" max="1" width="31.42578125" style="6" customWidth="1"/>
    <col min="2" max="2" width="14" style="6" bestFit="1" customWidth="1"/>
    <col min="3" max="3" width="25" style="6" customWidth="1"/>
    <col min="4" max="5" width="5.28515625" style="6" customWidth="1"/>
    <col min="6" max="6" width="14" style="6" bestFit="1" customWidth="1"/>
    <col min="7" max="7" width="25.42578125" style="6" customWidth="1"/>
    <col min="8" max="8" width="21.7109375" style="6" customWidth="1"/>
    <col min="9" max="9" width="14" style="6" customWidth="1"/>
    <col min="10" max="10" width="9.5703125" style="6" customWidth="1"/>
    <col min="11" max="16384" width="9.140625" style="6"/>
  </cols>
  <sheetData>
    <row r="1" spans="1:10" ht="15">
      <c r="B1" s="34" t="s">
        <v>32</v>
      </c>
      <c r="C1"/>
      <c r="D1"/>
      <c r="E1"/>
      <c r="G1" s="34" t="s">
        <v>34</v>
      </c>
      <c r="H1" s="16" t="s" vm="1">
        <v>41</v>
      </c>
    </row>
    <row r="2" spans="1:10" ht="15">
      <c r="B2" s="34" t="s">
        <v>37</v>
      </c>
      <c r="C2" s="34" t="s">
        <v>38</v>
      </c>
      <c r="D2" t="s">
        <v>102</v>
      </c>
      <c r="E2"/>
      <c r="H2"/>
    </row>
    <row r="3" spans="1:10" ht="15">
      <c r="B3" s="16" t="s">
        <v>135</v>
      </c>
      <c r="C3" s="16" t="s">
        <v>67</v>
      </c>
      <c r="D3" s="41">
        <v>1</v>
      </c>
      <c r="E3"/>
      <c r="G3"/>
      <c r="H3"/>
      <c r="I3" s="34" t="s">
        <v>39</v>
      </c>
      <c r="J3"/>
    </row>
    <row r="4" spans="1:10" ht="15">
      <c r="B4"/>
      <c r="C4" s="16" t="s">
        <v>68</v>
      </c>
      <c r="D4" s="41">
        <v>1</v>
      </c>
      <c r="E4"/>
      <c r="G4" s="34" t="s">
        <v>37</v>
      </c>
      <c r="H4" s="34" t="s">
        <v>40</v>
      </c>
      <c r="I4" s="16" t="s">
        <v>69</v>
      </c>
      <c r="J4" s="16" t="s">
        <v>70</v>
      </c>
    </row>
    <row r="5" spans="1:10" ht="15">
      <c r="B5" s="16" t="s">
        <v>136</v>
      </c>
      <c r="C5" s="16" t="s">
        <v>67</v>
      </c>
      <c r="D5" s="41">
        <v>1</v>
      </c>
      <c r="E5"/>
      <c r="G5" s="16" t="s">
        <v>135</v>
      </c>
      <c r="H5" s="16" t="s">
        <v>103</v>
      </c>
      <c r="I5" s="41">
        <v>427215</v>
      </c>
      <c r="J5" s="41"/>
    </row>
    <row r="6" spans="1:10" ht="15">
      <c r="B6"/>
      <c r="C6" s="16" t="s">
        <v>68</v>
      </c>
      <c r="D6" s="41">
        <v>1</v>
      </c>
      <c r="E6"/>
      <c r="G6"/>
      <c r="H6" s="16" t="s">
        <v>71</v>
      </c>
      <c r="I6" s="41">
        <v>11870</v>
      </c>
      <c r="J6" s="41"/>
    </row>
    <row r="7" spans="1:10" ht="15">
      <c r="B7" s="16" t="s">
        <v>137</v>
      </c>
      <c r="C7" s="16" t="s">
        <v>67</v>
      </c>
      <c r="D7" s="41">
        <v>1</v>
      </c>
      <c r="G7" s="16" t="s">
        <v>136</v>
      </c>
      <c r="H7" s="16" t="s">
        <v>104</v>
      </c>
      <c r="I7" s="41">
        <v>20470</v>
      </c>
      <c r="J7" s="41"/>
    </row>
    <row r="8" spans="1:10" ht="15">
      <c r="A8"/>
      <c r="B8"/>
      <c r="C8" s="16" t="s">
        <v>68</v>
      </c>
      <c r="D8" s="41">
        <v>1</v>
      </c>
      <c r="G8" s="16" t="s">
        <v>137</v>
      </c>
      <c r="H8" s="16" t="s">
        <v>138</v>
      </c>
      <c r="I8" s="41">
        <v>86415</v>
      </c>
      <c r="J8" s="41"/>
    </row>
    <row r="9" spans="1:10" ht="15">
      <c r="A9"/>
      <c r="B9" s="16" t="s">
        <v>81</v>
      </c>
      <c r="C9"/>
      <c r="D9" s="41">
        <v>2</v>
      </c>
      <c r="G9"/>
      <c r="H9"/>
      <c r="I9"/>
      <c r="J9"/>
    </row>
    <row r="10" spans="1:10" ht="15">
      <c r="A10"/>
      <c r="B10"/>
      <c r="C10"/>
      <c r="D10"/>
      <c r="G10"/>
      <c r="H10"/>
      <c r="I10"/>
      <c r="J10"/>
    </row>
    <row r="11" spans="1:10" ht="15">
      <c r="A11"/>
      <c r="B11"/>
      <c r="C11"/>
      <c r="D11"/>
    </row>
    <row r="12" spans="1:10" ht="15">
      <c r="A12"/>
      <c r="B12"/>
      <c r="C12"/>
      <c r="D12"/>
    </row>
    <row r="13" spans="1:10" ht="15">
      <c r="A13"/>
      <c r="B13"/>
      <c r="C13"/>
      <c r="D13"/>
    </row>
    <row r="14" spans="1:10" ht="15">
      <c r="A14"/>
      <c r="B14"/>
      <c r="C14"/>
      <c r="D14"/>
    </row>
    <row r="15" spans="1:10" ht="15">
      <c r="A15"/>
      <c r="B15"/>
      <c r="C15"/>
    </row>
    <row r="16" spans="1:10" ht="15">
      <c r="A16"/>
      <c r="B16"/>
      <c r="C16"/>
    </row>
    <row r="17" spans="1:3" ht="15">
      <c r="A17"/>
      <c r="B17"/>
      <c r="C17"/>
    </row>
    <row r="18" spans="1:3" ht="15">
      <c r="A18"/>
      <c r="B18"/>
      <c r="C18"/>
    </row>
    <row r="19" spans="1:3" ht="15">
      <c r="A19"/>
      <c r="B19"/>
      <c r="C19"/>
    </row>
    <row r="20" spans="1:3" ht="15">
      <c r="A20"/>
      <c r="B20"/>
      <c r="C20"/>
    </row>
    <row r="21" spans="1:3" ht="15">
      <c r="A21"/>
      <c r="B21"/>
      <c r="C21"/>
    </row>
    <row r="22" spans="1:3" ht="15">
      <c r="A22"/>
      <c r="B22"/>
      <c r="C22"/>
    </row>
    <row r="23" spans="1:3" ht="15">
      <c r="A23"/>
      <c r="B23"/>
      <c r="C23"/>
    </row>
    <row r="24" spans="1:3" ht="15">
      <c r="A24"/>
      <c r="B24"/>
      <c r="C24"/>
    </row>
  </sheetData>
  <phoneticPr fontId="14" type="noConversion"/>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https://poolcutsp/Pages/PoolProcess.aspx?poolId=304</Url>
      <Description>资产切割</Description>
    </PoolCutPageURL>
    <PoolSource xmlns="82750804-9d0c-4555-9fa5-8dc8286bb7ad">0</PoolSource>
    <PoolUpdateType xmlns="82750804-9d0c-4555-9fa5-8dc8286bb7ad">PoolBase</PoolUpdateType>
    <PoolDescription xmlns="82750804-9d0c-4555-9fa5-8dc8286bb7ad">xindaigongchang</PoolDescription>
    <PoolIdentification xmlns="82750804-9d0c-4555-9fa5-8dc8286bb7ad" xsi:nil="true"/>
    <PoolName xmlns="82750804-9d0c-4555-9fa5-8dc8286bb7ad">PoolBase_3_20160310_304</PoolName>
    <PoolUpdateBy xmlns="82750804-9d0c-4555-9fa5-8dc8286bb7ad">0#.w|dev\goldenstand</PoolUpdateBy>
    <BasePoolAsOfDate xmlns="82750804-9d0c-4555-9fa5-8dc8286bb7ad">2016-03-10</BasePoolAsOfDate>
    <PoolID xmlns="82750804-9d0c-4555-9fa5-8dc8286bb7ad">304</PoolID>
    <PoolLoanType xmlns="82750804-9d0c-4555-9fa5-8dc8286bb7ad">OnlyUnsold</PoolLoanType>
    <OverlapPool xmlns="82750804-9d0c-4555-9fa5-8dc8286bb7ad">true</OverlapPool>
    <PoolLoanValue xmlns="82750804-9d0c-4555-9fa5-8dc8286bb7ad">¥199,692.00</PoolLoanValue>
    <RefreshAsOfDate xmlns="82750804-9d0c-4555-9fa5-8dc8286bb7ad" xsi:nil="true"/>
    <PoolGroup xmlns="82750804-9d0c-4555-9fa5-8dc8286bb7ad">Job_3_20160310_304</PoolGroup>
    <PoolReport xmlns="82750804-9d0c-4555-9fa5-8dc8286bb7ad">
      <Url>https://poolcutsp/PoolCutCenter/Job_3_20160310_304/PoolBase_3_20160310_304.xlsm</Url>
      <Description>报表</Description>
    </PoolReport>
    <PoolHierarchyName xmlns="82750804-9d0c-4555-9fa5-8dc8286bb7ad">PoolBase_3_20160310_304</PoolHierarchyName>
    <PoolLoanCount xmlns="82750804-9d0c-4555-9fa5-8dc8286bb7ad">29</PoolLoanCount>
    <OrderBySequence xmlns="82750804-9d0c-4555-9fa5-8dc8286bb7ad">304</OrderBySequence>
    <PoolHierarchy xmlns="82750804-9d0c-4555-9fa5-8dc8286bb7ad">Base</PoolHierarchy>
    <PoolTargetTrust xmlns="82750804-9d0c-4555-9fa5-8dc8286bb7ad" xsi:nil="true"/>
    <PoolOrganization xmlns="82750804-9d0c-4555-9fa5-8dc8286bb7ad">LF</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2.xml><?xml version="1.0" encoding="utf-8"?>
<ds:datastoreItem xmlns:ds="http://schemas.openxmlformats.org/officeDocument/2006/customXml" ds:itemID="{6EEDE678-DDA4-4B9F-9601-67F0F8EC49F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2016-05-13T03:23:08Z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ies>
</file>